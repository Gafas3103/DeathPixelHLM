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DeathPixelHLM\QA\"/>
    </mc:Choice>
  </mc:AlternateContent>
  <xr:revisionPtr revIDLastSave="0" documentId="13_ncr:1_{1823046A-CDAF-4388-A9EC-A27F2D1290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  <sheet name="Resumen" sheetId="2" r:id="rId2"/>
    <sheet name="Defec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H35" i="2" s="1"/>
  <c r="G18" i="2"/>
  <c r="G35" i="2" s="1"/>
  <c r="F18" i="2"/>
  <c r="F35" i="2" s="1"/>
  <c r="E18" i="2"/>
  <c r="E35" i="2" s="1"/>
  <c r="D18" i="2"/>
  <c r="D35" i="2" s="1"/>
  <c r="C12" i="2"/>
  <c r="C9" i="2"/>
  <c r="C8" i="2"/>
  <c r="C7" i="2"/>
  <c r="C6" i="2"/>
  <c r="C14" i="2" l="1"/>
  <c r="C13" i="2"/>
  <c r="C10" i="2"/>
  <c r="D6" i="2"/>
  <c r="D36" i="2" l="1"/>
  <c r="D7" i="2"/>
  <c r="D8" i="2"/>
  <c r="D9" i="2"/>
  <c r="D10" i="2"/>
</calcChain>
</file>

<file path=xl/sharedStrings.xml><?xml version="1.0" encoding="utf-8"?>
<sst xmlns="http://schemas.openxmlformats.org/spreadsheetml/2006/main" count="917" uniqueCount="631">
  <si>
    <t xml:space="preserve"> Test Cases Template</t>
  </si>
  <si>
    <t xml:space="preserve">Project Name: </t>
  </si>
  <si>
    <t>DeathPixel (HLM) - juego 2D top-down en Godot 4.7.1</t>
  </si>
  <si>
    <t xml:space="preserve">Module/Feature: </t>
  </si>
  <si>
    <t>Juego completo: menús, HUD, armas, sigilo/IA, flow, niveles, tutorial, ajustes</t>
  </si>
  <si>
    <t xml:space="preserve">Title: </t>
  </si>
  <si>
    <t>Plan y ejecución de QA - versión con tutorial, rifle automático, escopeta, cuchillo y sigilo</t>
  </si>
  <si>
    <t xml:space="preserve">Author: </t>
  </si>
  <si>
    <t>Claude (QA automatizado con Godot 4.7.1)</t>
  </si>
  <si>
    <t xml:space="preserve">Reviewer: </t>
  </si>
  <si>
    <t>Alejandro Rivera (pendiente de revisión)</t>
  </si>
  <si>
    <t xml:space="preserve">Date: </t>
  </si>
  <si>
    <t>2026-09-21</t>
  </si>
  <si>
    <t xml:space="preserve">Priority: </t>
  </si>
  <si>
    <t>High</t>
  </si>
  <si>
    <t>Last Updated:</t>
  </si>
  <si>
    <t>Test Case</t>
  </si>
  <si>
    <t>Test Case ID</t>
  </si>
  <si>
    <t>Test Objective</t>
  </si>
  <si>
    <t>Preconditions</t>
  </si>
  <si>
    <t>Test Steps</t>
  </si>
  <si>
    <t>Test Data</t>
  </si>
  <si>
    <t>Expected Result</t>
  </si>
  <si>
    <t>Actual Result</t>
  </si>
  <si>
    <t xml:space="preserve">Status </t>
  </si>
  <si>
    <t>Postconditions</t>
  </si>
  <si>
    <t>Test Environment</t>
  </si>
  <si>
    <t>Notes/Comments</t>
  </si>
  <si>
    <t>Menú principal muestra todas las opciones</t>
  </si>
  <si>
    <t>MEN_01</t>
  </si>
  <si>
    <t>Verificar que el menú principal carga con sus 5 botones</t>
  </si>
  <si>
    <t>Juego cerrado</t>
  </si>
  <si>
    <t>1. Abrir el juego.
2. Observar el menú.</t>
  </si>
  <si>
    <t>-</t>
  </si>
  <si>
    <t>Se ven JUGAR, TUTORIAL, AJUSTES, CRÉDITOS y SALIR; título DEATH PIXEL.</t>
  </si>
  <si>
    <t>As expected</t>
  </si>
  <si>
    <t>Pass</t>
  </si>
  <si>
    <t>Menú abierto, mouse visible</t>
  </si>
  <si>
    <t>Godot 4.7.1 / Windows 11 (sin ventana)</t>
  </si>
  <si>
    <t>Observado: botones: ["JUGAR", "TUTORIAL", "AJUSTES", "CRÉDITOS", "SALIR"]
Automatizado (QA/automation).</t>
  </si>
  <si>
    <t>Aviso de "¿Primera vez?" al presionar JUGAR</t>
  </si>
  <si>
    <t>MEN_02</t>
  </si>
  <si>
    <t>Recomendar el tutorial a quien no lo ha hecho</t>
  </si>
  <si>
    <t>tutorial_done = falso (progreso nuevo)</t>
  </si>
  <si>
    <t>1. En el menú, presionar JUGAR.</t>
  </si>
  <si>
    <t>Tutorial no completado</t>
  </si>
  <si>
    <t>Aparece el aviso con HACER EL TUTORIAL / IR A LOS NIVELES / VOLVER.</t>
  </si>
  <si>
    <t>Aviso visible</t>
  </si>
  <si>
    <t>Observado: primera vez: aviso del tutorial visible
Automatizado (QA/automation).</t>
  </si>
  <si>
    <t>JUGAR abre los niveles cuando el tutorial ya se hizo</t>
  </si>
  <si>
    <t>MEN_03</t>
  </si>
  <si>
    <t>Verificar que el aviso no molesta después</t>
  </si>
  <si>
    <t>tutorial_done = verdadero</t>
  </si>
  <si>
    <t>1. Presionar JUGAR.</t>
  </si>
  <si>
    <t>Tutorial completado</t>
  </si>
  <si>
    <t>Se abre la pantalla de selección de niveles.</t>
  </si>
  <si>
    <t>Selector de niveles abierto</t>
  </si>
  <si>
    <t>Observado: con tutorial hecho JUGAR abre: LevelSelect
Automatizado (QA/automation).</t>
  </si>
  <si>
    <t>Créditos se abren y se cierran</t>
  </si>
  <si>
    <t>MEN_04</t>
  </si>
  <si>
    <t>Verificar la pantalla de créditos</t>
  </si>
  <si>
    <t>Menú principal abierto</t>
  </si>
  <si>
    <t>1. Presionar CRÉDITOS.
2. Presionar REGRESAR.</t>
  </si>
  <si>
    <t>Se muestra el panel de créditos y al regresar se cierra.</t>
  </si>
  <si>
    <t>Menú principal visible</t>
  </si>
  <si>
    <t>Observado: créditos abre=true, cierra=true
Los nombres del equipo son genéricos ("Equipo DeathPixel"): editar CREDITS en main_menu.gd.
Automatizado (QA/automation).</t>
  </si>
  <si>
    <t>Ajustes es una pantalla propia</t>
  </si>
  <si>
    <t>MEN_05</t>
  </si>
  <si>
    <t>Comprobar que Ajustes no se superpone al menú (defecto reportado)</t>
  </si>
  <si>
    <t>1. Presionar AJUSTES.
2. Presionar REGRESAR.</t>
  </si>
  <si>
    <t>Ajustes ocupa toda la pantalla (escena propia) y al regresar vuelve al menú principal.</t>
  </si>
  <si>
    <t>Observado: ajustes como escena propia=true; al cerrar vuelve a: MainMenu
Reporte del usuario: el menú se veía encima. Corregido (anclas y escena propia).
Automatizado (QA/automation).</t>
  </si>
  <si>
    <t>Selector muestra 5 niveles; 4 y 5 no jugables</t>
  </si>
  <si>
    <t>LVL_01</t>
  </si>
  <si>
    <t>Verificar la lista de niveles</t>
  </si>
  <si>
    <t>Selector abierto</t>
  </si>
  <si>
    <t>1. Abrir el selector de niveles.</t>
  </si>
  <si>
    <t>5 botones; niveles 1-3 jugables; 4 y 5 marcados como PRÓXIMAMENTE.</t>
  </si>
  <si>
    <t>Observado: botones=5, jugables=[true, true, true, false, false]
Automatizado (QA/automation).</t>
  </si>
  <si>
    <t>Desbloqueo progresivo de niveles</t>
  </si>
  <si>
    <t>LVL_02</t>
  </si>
  <si>
    <t>Verificar que un nivel se desbloquea al ganar el anterior</t>
  </si>
  <si>
    <t>Progreso nuevo (solo nivel 1 abierto)</t>
  </si>
  <si>
    <t>1. Confirmar nivel 2 bloqueado.
2. Completar el nivel 1.
3. Volver al selector.</t>
  </si>
  <si>
    <t>unlock_all_levels = falso</t>
  </si>
  <si>
    <t>Nivel 2 bloqueado al inicio y desbloqueado tras ganar el nivel 1.</t>
  </si>
  <si>
    <t>Progreso guardado</t>
  </si>
  <si>
    <t>Observado: nivel 2 bloqueado al inicio=true, desbloqueado tras ganar el 1=true
Automatizado (QA/automation).</t>
  </si>
  <si>
    <t>Selector de dificultad cambia la cantidad de enemigos</t>
  </si>
  <si>
    <t>LVL_03</t>
  </si>
  <si>
    <t>Verificar el selector FÁCIL/NORMAL/DIFÍCIL del selector de niveles</t>
  </si>
  <si>
    <t>Selector abierto con nivel 3 seleccionado</t>
  </si>
  <si>
    <t>1. Presionar DIFÍCIL.
2. Leer "ENEMIGOS".
3. Presionar FÁCIL.
4. Leer "ENEMIGOS".</t>
  </si>
  <si>
    <t>Nivel 3</t>
  </si>
  <si>
    <t>Difícil = 9 enemigos, Fácil = 4 enemigos; el ajuste queda guardado.</t>
  </si>
  <si>
    <t>Dificultad en Fácil</t>
  </si>
  <si>
    <t>Observado: nivel 3 -&gt; Difícil: 'ENEMIGOS: 9   ' | Fácil: 'ENEMIGOS: 4   '
Automatizado (QA/automation).</t>
  </si>
  <si>
    <t>Los 3 niveles se pueden completar</t>
  </si>
  <si>
    <t>LVL_04</t>
  </si>
  <si>
    <t>Recorrer llave -&gt; puerta -&gt; salida -&gt; victoria en cada nivel</t>
  </si>
  <si>
    <t>Niveles 1, 2 y 3 disponibles</t>
  </si>
  <si>
    <t>1. Eliminar a los enemigos de afuera.
2. Recoger la llave que suelta el último.
3. Abrir la puerta con [E].
4. Llegar a la zona de salida.</t>
  </si>
  <si>
    <t>Dificultad Normal</t>
  </si>
  <si>
    <t>En los 3 niveles aparece la pantalla de victoria.</t>
  </si>
  <si>
    <t>Victoria mostrada</t>
  </si>
  <si>
    <t>Observado: nivel1/2/3: llave-&gt;puerta-&gt;salida-&gt;victoria = [true, true, true]
Nivel 3 era imposible de pasar (la llave caía dentro de la sala cerrada): corregido con el custodio "guards_exit".
Automatizado (QA/automation).</t>
  </si>
  <si>
    <t>Nivel 3: la llave la suelta un enemigo de afuera</t>
  </si>
  <si>
    <t>LVL_05</t>
  </si>
  <si>
    <t>Evitar que la llave quede encerrada</t>
  </si>
  <si>
    <t>Nivel 3 iniciado</t>
  </si>
  <si>
    <t>1. Eliminar a todos los enemigos menos el custodio de la sala cerrada.</t>
  </si>
  <si>
    <t>Cae 1 llave lejos del custodio (fuera de la sala) y el custodio sigue vivo.</t>
  </si>
  <si>
    <t>Llave en el suelo</t>
  </si>
  <si>
    <t>Observado: llaves=1, custodio vivo=true
Automatizado (QA/automation).</t>
  </si>
  <si>
    <t>Vida, corazones, munición y puntaje pasan de nivel</t>
  </si>
  <si>
    <t>LVL_06</t>
  </si>
  <si>
    <t>Verificar la persistencia entre niveles</t>
  </si>
  <si>
    <t>Jugando el nivel 1</t>
  </si>
  <si>
    <t>1. Dejar vida 45, 2 corazones, 1234 puntos, cargador 7.
2. Completar el nivel y pasar al siguiente.</t>
  </si>
  <si>
    <t>vida 45 / 2 corazones / 1234 pts</t>
  </si>
  <si>
    <t>En el nivel 2 se conservan los mismos valores.</t>
  </si>
  <si>
    <t>Nivel 2 en curso</t>
  </si>
  <si>
    <t>Observado: nivel=2 vida=45 corazones=2 puntaje=1234 cargador=7
Automatizado (QA/automation).</t>
  </si>
  <si>
    <t>Sin vidas: se reinicia desde el nivel 1 sin nada</t>
  </si>
  <si>
    <t>LVL_07</t>
  </si>
  <si>
    <t>Verificar la regla de game over</t>
  </si>
  <si>
    <t>Jugando con 1 corazón</t>
  </si>
  <si>
    <t>1. Perder toda la vida.
2. Presionar R / REINICIAR.</t>
  </si>
  <si>
    <t>Puntaje 999</t>
  </si>
  <si>
    <t>Vuelve al nivel 1 con vida 100, 3 corazones y puntaje 0.</t>
  </si>
  <si>
    <t>Nivel 1 nuevo</t>
  </si>
  <si>
    <t>Observado: nivel=1 vida=100 corazones=3 puntaje=0
Automatizado (QA/automation).</t>
  </si>
  <si>
    <t>Los ajustes se guardan en disco</t>
  </si>
  <si>
    <t>SET_01</t>
  </si>
  <si>
    <t>Verificar la persistencia de ajustes</t>
  </si>
  <si>
    <t>Ajustes abiertos</t>
  </si>
  <si>
    <t>1. Cambiar modo de pantalla y volumen general.
2. Esperar 1 s.
3. Leer settings.cfg.</t>
  </si>
  <si>
    <t>Ventana, volumen 50%</t>
  </si>
  <si>
    <t>settings.cfg contiene los valores elegidos.</t>
  </si>
  <si>
    <t>Archivo actualizado</t>
  </si>
  <si>
    <t>Observado: settings.cfg guardado: fullscreen=false master=0.5
Automatizado (QA/automation).</t>
  </si>
  <si>
    <t>Volumen cambia los buses de audio</t>
  </si>
  <si>
    <t>SET_02</t>
  </si>
  <si>
    <t>Verificar que los deslizadores afectan el audio</t>
  </si>
  <si>
    <t>1. Mover volumen general al 50%.</t>
  </si>
  <si>
    <t>50%</t>
  </si>
  <si>
    <t>Bus Master = -6.02 dB; existen los buses Music y SFX.</t>
  </si>
  <si>
    <t>Volumen aplicado</t>
  </si>
  <si>
    <t>Observado: bus Master=-6.02 dB (esperado -6.02), buses Music/SFX creados
El juego aún no tiene sonidos: solo se probó el mecanismo.
Automatizado (QA/automation).</t>
  </si>
  <si>
    <t>Reasignar teclas y rechazar conflictos</t>
  </si>
  <si>
    <t>SET_03</t>
  </si>
  <si>
    <t>Verificar la reasignación de controles</t>
  </si>
  <si>
    <t>Pestaña CONTROLES abierta</t>
  </si>
  <si>
    <t>1. Reasignar RECARGAR a T.
2. Intentar asignar MELEE a W (ya usada).
3. Restablecer teclas.</t>
  </si>
  <si>
    <t>T, W</t>
  </si>
  <si>
    <t>T se acepta; W se rechaza indicando "MOVER ARRIBA"; el reset devuelve R.</t>
  </si>
  <si>
    <t>Teclas por defecto</t>
  </si>
  <si>
    <t>Observado: reasignar recargar a T -&gt; 'T'; conflicto con W rechazado por 'MOVER ARRIBA'; reset -&gt; 'R'
Automatizado (QA/automation).</t>
  </si>
  <si>
    <t>La dificultad cambia daño y recarga</t>
  </si>
  <si>
    <t>SET_04</t>
  </si>
  <si>
    <t>Verificar multiplicadores de dificultad</t>
  </si>
  <si>
    <t>1. Elegir DIFÍCIL y leer daño y recarga.
2. Elegir FÁCIL.</t>
  </si>
  <si>
    <t>Difícil / Fácil</t>
  </si>
  <si>
    <t>Daño enemigo x1.5 (Difícil) y x0.6 (Fácil); recarga automática solo en Fácil y Normal.</t>
  </si>
  <si>
    <t>Observado: daño enemigo Difícil x1.5, Fácil x0.6; recarga auto en Difícil=false
Automatizado (QA/automation).</t>
  </si>
  <si>
    <t>Brillo oscurece y aclara la pantalla</t>
  </si>
  <si>
    <t>SET_05</t>
  </si>
  <si>
    <t>Verificar el ajuste de brillo</t>
  </si>
  <si>
    <t>1. Brillo 60%.
2. Brillo 130%.</t>
  </si>
  <si>
    <t>60% / 130%</t>
  </si>
  <si>
    <t>60% -&gt; capa negra alfa 0.40; 130% -&gt; capa aditiva.</t>
  </si>
  <si>
    <t>Brillo 100%</t>
  </si>
  <si>
    <t>Observado: brillo 60% -&gt; capa negra alfa 0.40; 130% -&gt; capa aditiva=true
Automatizado (QA/automation).</t>
  </si>
  <si>
    <t>Barra de vida y corazones se actualizan</t>
  </si>
  <si>
    <t>HUD_01</t>
  </si>
  <si>
    <t>Verificar la salud en el HUD</t>
  </si>
  <si>
    <t>Nivel en curso</t>
  </si>
  <si>
    <t>1. Recibir 30 de daño.
2. Curar 20.
3. Bajar a 2 corazones.</t>
  </si>
  <si>
    <t>-30 / +20</t>
  </si>
  <si>
    <t>Barra 100 -&gt; 70 -&gt; 90; muestra 2 corazones llenos.</t>
  </si>
  <si>
    <t>HUD actualizado</t>
  </si>
  <si>
    <t>Observado: barra: 100 -&gt; 70 (daño 30) -&gt; 90 (cura 20); corazones=2
Automatizado (QA/automation).</t>
  </si>
  <si>
    <t>Panel de armas muestra arma y munición</t>
  </si>
  <si>
    <t>HUD_02</t>
  </si>
  <si>
    <t>Verificar el panel inferior derecho</t>
  </si>
  <si>
    <t>1. Equipar rifle, escopeta y cuchillo.</t>
  </si>
  <si>
    <t>1 / 2 / 3</t>
  </si>
  <si>
    <t>RIFLE 20/40, ESCOPETA 6/12 y CUCHILLO con ∞ (sin reserva).</t>
  </si>
  <si>
    <t>Panel correcto</t>
  </si>
  <si>
    <t>Observado: rifle='RIFLE 20/40' | escopeta='ESCOPETA 6/12' | cuchillo='CUCHILLO ∞'
Automatizado (QA/automation).</t>
  </si>
  <si>
    <t>Multiplicador de combo sobre la barra</t>
  </si>
  <si>
    <t>HUD_03</t>
  </si>
  <si>
    <t>Verificar el multiplicador y la barra de combo</t>
  </si>
  <si>
    <t>1. Eliminar a un enemigo.</t>
  </si>
  <si>
    <t>1 baja</t>
  </si>
  <si>
    <t>Muestra X2 encima de la barra y la barra se llena.</t>
  </si>
  <si>
    <t>Combo activo</t>
  </si>
  <si>
    <t>Observado: tras 1 baja: multiplicador 'X2', barra de combo 1.00
Automatizado (QA/automation).</t>
  </si>
  <si>
    <t>Barra SIGILO: OCULTO / SOSPECHA / DETECTADO</t>
  </si>
  <si>
    <t>HUD_04</t>
  </si>
  <si>
    <t>Verificar el indicador de sigilo</t>
  </si>
  <si>
    <t>1. Al aparecer (gracia).
2. Con un enemigo a medio detectar.
3. Cuando un enemigo te detecta.</t>
  </si>
  <si>
    <t>awareness 0.5 / 1.0</t>
  </si>
  <si>
    <t>OCULTO · Ns con gracia; SOSPECHA a media detección; ¡DETECTADO! al ser detectado.</t>
  </si>
  <si>
    <t>Indicador correcto</t>
  </si>
  <si>
    <t>Observado: barra de sigilo: awareness 0.5 -&gt; 'SOSPECHA'; enemigo que te detecta de verdad -&gt; '¡DETECTADO!'; con gracia -&gt; 'OCULTO · 3 s'
1ª ejecución falló: (a) criterio del test mal armado y (b) el QA reveló DEF-02 (mostraba SOSPECHA con un enemigo ya en combate). Corregido y repetido: Pass.
Automatizado (QA/automation).</t>
  </si>
  <si>
    <t>La guía apunta al objetivo actual</t>
  </si>
  <si>
    <t>HUD_05</t>
  </si>
  <si>
    <t>Verificar el marcador/flecha de objetivo</t>
  </si>
  <si>
    <t>1. Empezar.
2. Eliminar enemigos.
3. Recoger la llave.
4. Abrir la puerta.</t>
  </si>
  <si>
    <t>Guía: ENEMIGO -&gt; LLAVE -&gt; PUERTA -&gt; SALIDA.</t>
  </si>
  <si>
    <t>Guía en SALIDA</t>
  </si>
  <si>
    <t>Observado: guía: ENEMIGO -&gt; LLAVE -&gt; PUERTA -&gt; SALIDA
Automatizado (QA/automation).</t>
  </si>
  <si>
    <t>El minimapa se puede ocultar</t>
  </si>
  <si>
    <t>HUD_06</t>
  </si>
  <si>
    <t>Verificar el ajuste MOSTRAR MINIMAPA</t>
  </si>
  <si>
    <t>1. Desactivar minimapa.
2. Activarlo.</t>
  </si>
  <si>
    <t>Se oculta y vuelve a mostrarse.</t>
  </si>
  <si>
    <t>Minimapa visible</t>
  </si>
  <si>
    <t>Observado: minimapa oculto con el ajuste=true, visible al reactivar=true
Automatizado (QA/automation).</t>
  </si>
  <si>
    <t>Rifle: un toque = un disparo</t>
  </si>
  <si>
    <t>WPN_01</t>
  </si>
  <si>
    <t>Verificar la mecánica pedida</t>
  </si>
  <si>
    <t>Nivel en curso con rifle</t>
  </si>
  <si>
    <t>1. Hacer un clic corto.</t>
  </si>
  <si>
    <t>1 clic</t>
  </si>
  <si>
    <t>Se gasta exactamente 1 bala.</t>
  </si>
  <si>
    <t>Cargador -1</t>
  </si>
  <si>
    <t>Observado: un toque gastó 1 bala(s)
Automatizado (QA/automation).</t>
  </si>
  <si>
    <t>Rifle: mantener = ráfaga</t>
  </si>
  <si>
    <t>WPN_02</t>
  </si>
  <si>
    <t>Verificar el modo automático</t>
  </si>
  <si>
    <t>1. Mantener el clic 0.7 s.</t>
  </si>
  <si>
    <t>0.7 s</t>
  </si>
  <si>
    <t>Se disparan varias balas (&gt;= 4).</t>
  </si>
  <si>
    <t>Cargador reducido</t>
  </si>
  <si>
    <t>Observado: mantener 0.7 s gastó 6 balas (ráfaga)
Automatizado (QA/automation).</t>
  </si>
  <si>
    <t>Escopeta: 8 perdigones por disparo</t>
  </si>
  <si>
    <t>WPN_03</t>
  </si>
  <si>
    <t>Verificar la escopeta</t>
  </si>
  <si>
    <t>Escopeta equipada</t>
  </si>
  <si>
    <t>1. Disparar una vez.</t>
  </si>
  <si>
    <t>8 perdigones y cargador de 6.</t>
  </si>
  <si>
    <t>Cartucho -1</t>
  </si>
  <si>
    <t>Observado: perdigones por disparo=8, cargador=6
Automatizado (QA/automation).</t>
  </si>
  <si>
    <t>Cuchillo daña y no gasta munición</t>
  </si>
  <si>
    <t>WPN_04</t>
  </si>
  <si>
    <t>Verificar el melee</t>
  </si>
  <si>
    <t>Enemigo en combate frente al jugador</t>
  </si>
  <si>
    <t>1. Golpear con el cuchillo.</t>
  </si>
  <si>
    <t>Enemigo 60 vida</t>
  </si>
  <si>
    <t>La vida baja (golpe normal, no muerte instantánea) y la munición no cambia.</t>
  </si>
  <si>
    <t>Enemigo herido</t>
  </si>
  <si>
    <t>Observado: vida enemigo 60 -&gt; 15; munición de rifle intacta=true
Automatizado (QA/automation).</t>
  </si>
  <si>
    <t>Recarga automática solo en Fácil y Normal</t>
  </si>
  <si>
    <t>WPN_05</t>
  </si>
  <si>
    <t>Verificar la regla pedida por el usuario</t>
  </si>
  <si>
    <t>Cargador con 1 bala</t>
  </si>
  <si>
    <t>1. Disparar la última bala en Fácil, Normal y Difícil.</t>
  </si>
  <si>
    <t>1 bala / 20 reserva</t>
  </si>
  <si>
    <t>Fácil y Normal recargan solas; Difícil NO (recarga manual con R).</t>
  </si>
  <si>
    <t>Estado de recarga por dificultad</t>
  </si>
  <si>
    <t>Observado: al vaciar el cargador recarga sola: Fácil=true, Normal=true, Difícil=false (debe ser manual con R)
1ª ejecución falló por defecto del script de prueba (TD-01: etiquetas invertidas y pulsación demasiado corta). Sonda independiente en tiempo real confirmó el comportamiento correcto. Repetido: Pass.
Automatizado (QA/automation).</t>
  </si>
  <si>
    <t>Cambio de arma: 1/2/3, Q y rueda</t>
  </si>
  <si>
    <t>WPN_06</t>
  </si>
  <si>
    <t>Verificar todos los métodos de cambio</t>
  </si>
  <si>
    <t>1. Presionar 2, 3, 1.
2. Presionar Q.
3. Girar la rueda.</t>
  </si>
  <si>
    <t>2 -&gt; escopeta, 3 -&gt; cuchillo, 1 -&gt; rifle, Q -&gt; siguiente, rueda -&gt; cambia.</t>
  </si>
  <si>
    <t>Arma cambiada</t>
  </si>
  <si>
    <t>Observado: teclas 2-&gt;1, 3-&gt;2, 1-&gt;0, Q-&gt;1, rueda-&gt;2
Automatizado (QA/automation).</t>
  </si>
  <si>
    <t>Cada arma tiene su propio cargador</t>
  </si>
  <si>
    <t>WPN_07</t>
  </si>
  <si>
    <t>Verificar munición independiente</t>
  </si>
  <si>
    <t>1. Dejar el rifle en 3 balas.
2. Cambiar a escopeta.</t>
  </si>
  <si>
    <t>Escopeta 6, rifle 3: independientes.</t>
  </si>
  <si>
    <t>Munición separada</t>
  </si>
  <si>
    <t>Observado: cargador escopeta=6, rifle=3 (independientes)
Automatizado (QA/automation).</t>
  </si>
  <si>
    <t>Difícil: la recarga manual con R funciona</t>
  </si>
  <si>
    <t>WPN_08</t>
  </si>
  <si>
    <t>Verificar que R recarga cuando no hay recarga automática</t>
  </si>
  <si>
    <t>Dificultad Difícil, cargador 5</t>
  </si>
  <si>
    <t>1. Presionar R.</t>
  </si>
  <si>
    <t>cargador 5, reserva 20</t>
  </si>
  <si>
    <t>Inicia la recarga y termina con el cargador lleno (20).</t>
  </si>
  <si>
    <t>Cargador lleno</t>
  </si>
  <si>
    <t>Observado: Difícil: R inicia la recarga=true y termina con 20/5
Automatizado (QA/automation).</t>
  </si>
  <si>
    <t>Detección progresiva y gracia al aparecer</t>
  </si>
  <si>
    <t>AI_01</t>
  </si>
  <si>
    <t>Verificar que no te detectan al instante</t>
  </si>
  <si>
    <t>Enemigo con el jugador a 110 px y vista libre</t>
  </si>
  <si>
    <t>1. Con gracia activa, esperar 1 s.
2. Terminada la gracia, esperar 0.35 s.
3. Esperar 2.4 s más.</t>
  </si>
  <si>
    <t>Con gracia awareness=0; a 0.35 s está sospechando sin atacar; al final te detecta y ataca.</t>
  </si>
  <si>
    <t>Enemigo atacando</t>
  </si>
  <si>
    <t>Observado: con gracia awareness=0.00; a 0.35 s awareness=0.21 (sin atacar); a 2.7 s detecta=true
Responde al reporte: "me matan apenas aparezco".
Automatizado (QA/automation).</t>
  </si>
  <si>
    <t>Sigilo (Shift) retrasa la detección</t>
  </si>
  <si>
    <t>AI_02</t>
  </si>
  <si>
    <t>Verificar la ventaja del sigilo</t>
  </si>
  <si>
    <t>Enemigo con vista libre</t>
  </si>
  <si>
    <t>1. Medir detección 0.5 s con Shift.
2. Medir 0.5 s caminando normal.</t>
  </si>
  <si>
    <t>La detección con sigilo es claramente menor.</t>
  </si>
  <si>
    <t>Sin cambios</t>
  </si>
  <si>
    <t>Observado: awareness tras 0.5 s: sigilo=0.14 vs caminando=0.24
Automatizado (QA/automation).</t>
  </si>
  <si>
    <t>Muerte silenciosa por el punto ciego</t>
  </si>
  <si>
    <t>AI_03</t>
  </si>
  <si>
    <t>Verificar el ataque por la espalda</t>
  </si>
  <si>
    <t>Enemigo que no te ha detectado</t>
  </si>
  <si>
    <t>1. Colocarse detrás.
2. Golpear con el cuchillo.</t>
  </si>
  <si>
    <t>Muerte instantánea, silenciosa, con puntos dobles (+200).</t>
  </si>
  <si>
    <t>Enemigo muerto</t>
  </si>
  <si>
    <t>Observado: por la espalda: muerto=true silencioso=true puntos +200
Automatizado (QA/automation).</t>
  </si>
  <si>
    <t>Golpe de frente no mata al instante</t>
  </si>
  <si>
    <t>AI_04</t>
  </si>
  <si>
    <t>Verificar que el punto ciego importa</t>
  </si>
  <si>
    <t>Enemigo sin detectarte</t>
  </si>
  <si>
    <t>1. Golpear con el cuchillo de frente.</t>
  </si>
  <si>
    <t>El enemigo sobrevive (golpe normal).</t>
  </si>
  <si>
    <t>Observado: golpe de frente: el enemigo sobrevive (15/60)
Automatizado (QA/automation).</t>
  </si>
  <si>
    <t>Los enemigos investigan los ruidos</t>
  </si>
  <si>
    <t>AI_05</t>
  </si>
  <si>
    <t>Verificar el oído</t>
  </si>
  <si>
    <t>Enemigo patrullando</t>
  </si>
  <si>
    <t>1. Hacer un ruido fuera de su alcance.
2. Hacer un ruido cercano.</t>
  </si>
  <si>
    <t>El ruido lejano se ignora; el cercano lo hace investigar.</t>
  </si>
  <si>
    <t>Enemigo investigando</t>
  </si>
  <si>
    <t>Observado: ruido lejano: estado=0 (0=patrulla); ruido cercano: estado=4 (4=investigar)
Automatizado (QA/automation).</t>
  </si>
  <si>
    <t>Enemigo herido huye</t>
  </si>
  <si>
    <t>AI_06</t>
  </si>
  <si>
    <t>Verificar el estado HUIR</t>
  </si>
  <si>
    <t>Enemigo perseguidor</t>
  </si>
  <si>
    <t>1. Dejarlo con 25% de vida.</t>
  </si>
  <si>
    <t>Pasa al estado HUIR.</t>
  </si>
  <si>
    <t>Enemigo huyendo</t>
  </si>
  <si>
    <t>Observado: enemigo con 25% de vida: estado=5 (5=huir)
Automatizado (QA/automation).</t>
  </si>
  <si>
    <t>Pathfinding rodea paredes</t>
  </si>
  <si>
    <t>AI_07</t>
  </si>
  <si>
    <t>Verificar el A*</t>
  </si>
  <si>
    <t>Nivel 1</t>
  </si>
  <si>
    <t>1. Pedir una ruta entre un cuarto y la calle.</t>
  </si>
  <si>
    <t>La ruta tiene varios puntos y todos son caminables.</t>
  </si>
  <si>
    <t>Ruta calculada</t>
  </si>
  <si>
    <t>Observado: A*: ruta de 13 puntos entre dos zonas separadas por paredes; todos caminables=true
Automatizado (QA/automation).</t>
  </si>
  <si>
    <t>Inicio seguro en todos los niveles y dificultades</t>
  </si>
  <si>
    <t>AI_08</t>
  </si>
  <si>
    <t>Comprobar que nunca te matan al aparecer</t>
  </si>
  <si>
    <t>Ninguna</t>
  </si>
  <si>
    <t>1. Iniciar los 3 niveles en las 3 dificultades.
2. Esperar 0.6 s.</t>
  </si>
  <si>
    <t>9 combinaciones</t>
  </si>
  <si>
    <t>Gracia e invulnerabilidad activas, ningún enemigo a menos de 100 px y awareness 0.</t>
  </si>
  <si>
    <t>Jugador vivo</t>
  </si>
  <si>
    <t>Observado: 9 combinaciones nivel/dificultad: gracia e invulnerabilidad activas, ningún enemigo a &lt;100 px, awareness 0
Se reubicaron enemigos extra de Difícil que estaban a 32 px del inicio (nivel 3) y una patrulla a 47 px (nivel 2).
Automatizado (QA/automation).</t>
  </si>
  <si>
    <t>Combo: racha rápida y expiración</t>
  </si>
  <si>
    <t>FLW_01</t>
  </si>
  <si>
    <t>Verificar el sistema de combo</t>
  </si>
  <si>
    <t>1. Dos bajas seguidas.
2. Esperar a que expire.</t>
  </si>
  <si>
    <t>Combo 1 -&gt; 2 -&gt; 4 (+2 en racha rápida), ventana más larga; tras expirar vuelve a 1.</t>
  </si>
  <si>
    <t>Combo 1</t>
  </si>
  <si>
    <t>Observado: combo: 1 -&gt; 2 -&gt; 4 (racha rápida +2), ventana 11 s, tras expirar=1
Automatizado (QA/automation).</t>
  </si>
  <si>
    <t>FLOW / FRENESÍ / BERSERK y daño</t>
  </si>
  <si>
    <t>FLW_02</t>
  </si>
  <si>
    <t>Verificar los niveles de flow</t>
  </si>
  <si>
    <t>1. Poner combo 4, 7 y 10.</t>
  </si>
  <si>
    <t>Niveles 1, 2 y 3; a combo 10 el daño es x2.35.</t>
  </si>
  <si>
    <t>Observado: combo 4/7/10 -&gt; niveles 1/2/3; daño combo 10 = x2.35
Automatizado (QA/automation).</t>
  </si>
  <si>
    <t>Puntos "+N" sobre el enemigo caído</t>
  </si>
  <si>
    <t>FLW_03</t>
  </si>
  <si>
    <t>Verificar el texto flotante</t>
  </si>
  <si>
    <t>Aparece "+N" sobre él.</t>
  </si>
  <si>
    <t>Texto desvanecido</t>
  </si>
  <si>
    <t>Observado: aparece el texto de puntos '+N' sobre el enemigo caído: true
Automatizado (QA/automation).</t>
  </si>
  <si>
    <t>El botín depende de lo que necesitas</t>
  </si>
  <si>
    <t>OBJ_01</t>
  </si>
  <si>
    <t>Verificar los drops</t>
  </si>
  <si>
    <t>1. Con vida 20%, tirar 60 veces el botín.
2. Sin munición, tirar 60 veces.</t>
  </si>
  <si>
    <t>Con vida baja predominan botiquines/corazones; sin munición predominan balas/cartuchos; nunca "nada" cuando estás mal.</t>
  </si>
  <si>
    <t>Observado: vida 20%: { 0: 16, 1: 35, 2: 0, 3: 9, -1: 0 } | sin munición: { 0: 30, 1: 6, 2: 0, 3: 24, -1: 0 }
1ª ejecución falló por un umbral demasiado estricto del test (TD-02).
Automatizado (QA/automation).</t>
  </si>
  <si>
    <t>La puerta bloquea y se abre con la llave</t>
  </si>
  <si>
    <t>OBJ_02</t>
  </si>
  <si>
    <t>Verificar la colisión de la puerta</t>
  </si>
  <si>
    <t>1. Empujar contra la puerta cerrada.
2. Con la llave, abrirla con [E].
3. Cruzar.</t>
  </si>
  <si>
    <t>Cerrada bloquea; abierta deja pasar.</t>
  </si>
  <si>
    <t>Puerta abierta</t>
  </si>
  <si>
    <t>Observado: puerta cerrada bloquea al jugador=true; abierta lo deja pasar=true
El usuario pidió revisar la colisión de las puertas: verificada.
Automatizado (QA/automation).</t>
  </si>
  <si>
    <t>La nota solo aparece en el nivel 1</t>
  </si>
  <si>
    <t>OBJ_03</t>
  </si>
  <si>
    <t>Verificar el drop de la nota</t>
  </si>
  <si>
    <t>Niveles 1 y 2</t>
  </si>
  <si>
    <t>1. Eliminar a todos en cada nivel.</t>
  </si>
  <si>
    <t>Nivel 1 suelta 1 nota; nivel 2 ninguna.</t>
  </si>
  <si>
    <t>Nota en el suelo (nivel 1)</t>
  </si>
  <si>
    <t>Observado: notas soltadas: nivel 1=1, nivel 2=0
Automatizado (QA/automation).</t>
  </si>
  <si>
    <t>Los objetos no se gastan si no hacen falta</t>
  </si>
  <si>
    <t>OBJ_04</t>
  </si>
  <si>
    <t>Verificar los pickups</t>
  </si>
  <si>
    <t>Vida llena y reserva llena</t>
  </si>
  <si>
    <t>1. Pasar por un botiquín y una caja de munición.</t>
  </si>
  <si>
    <t>Ambos se conservan.</t>
  </si>
  <si>
    <t>Objetos intactos</t>
  </si>
  <si>
    <t>Observado: botiquín con vida llena se conserva=true; munición con reserva llena se conserva=true
Automatizado (QA/automation).</t>
  </si>
  <si>
    <t>Mouse confinado a la ventana</t>
  </si>
  <si>
    <t>CTL_01</t>
  </si>
  <si>
    <t>Verificar la captura del mouse (defecto reportado)</t>
  </si>
  <si>
    <t>Modo ventana</t>
  </si>
  <si>
    <t>1. Jugar.
2. Pausar.
3. Reanudar.
4. Volver al menú.</t>
  </si>
  <si>
    <t>Partida: confinado y oculto; pausa: confinado; menú: libre.</t>
  </si>
  <si>
    <t>Mouse libre en el menú</t>
  </si>
  <si>
    <t>Godot 4.7.1 / Windows 11 (ventana, RTX 2050)</t>
  </si>
  <si>
    <t>Observado: modo del mouse: partida=CONFINED_HIDDEN, pausa=CONFINED, al reanudar=CONFINED_HIDDEN, menú=VISIBLE
En modo sin ventana el servidor de pantalla ficticio no admite el mouse: se ejecutó con ventana.
Automatizado (QA/automation).</t>
  </si>
  <si>
    <t>El progreso se guarda y recarga</t>
  </si>
  <si>
    <t>PER_01</t>
  </si>
  <si>
    <t>Verificar progress.cfg</t>
  </si>
  <si>
    <t>Juego abierto</t>
  </si>
  <si>
    <t>1. Guardar progreso.
2. Reiniciar los valores.
3. Recargar.</t>
  </si>
  <si>
    <t>nivel 3 desbloqueado, mejor puntaje 4321</t>
  </si>
  <si>
    <t>Se recuperan los valores guardados.</t>
  </si>
  <si>
    <t>Progreso restaurado</t>
  </si>
  <si>
    <t>Observado: progreso guardado y recargado: nivel desbloqueado=3, mejor puntaje nivel 1=4321
Automatizado (QA/automation).</t>
  </si>
  <si>
    <t>El tutorial se completa (12 pasos)</t>
  </si>
  <si>
    <t>TUT_01</t>
  </si>
  <si>
    <t>Recorrer el tutorial con acciones reales</t>
  </si>
  <si>
    <t>Tutorial iniciado</t>
  </si>
  <si>
    <t>1. Completar cada paso: mover, rifle, ráfaga, recargar, escopeta, cuchillo, sigilo, punto ciego, combo, objetos, llave y puerta, salida.</t>
  </si>
  <si>
    <t>Los 12 pasos avanzan al cumplirse y aparece "TUTORIAL COMPLETADO".</t>
  </si>
  <si>
    <t>Tutorial marcado como hecho</t>
  </si>
  <si>
    <t>Observado: 12 pasos completados con acciones reales; pasos que no avanzaron=0; tutorial_done=true
El QA encontró un crash del motor en este flujo (DEF-01): corregido y repetido.
Automatizado (QA/automation).</t>
  </si>
  <si>
    <t>Arma equivocada no cuenta</t>
  </si>
  <si>
    <t>TUT_02</t>
  </si>
  <si>
    <t>Verificar la validación de pasos</t>
  </si>
  <si>
    <t>Paso del rifle</t>
  </si>
  <si>
    <t>1. Eliminar el muñeco con la escopeta.</t>
  </si>
  <si>
    <t>No cuenta; aparece otro muñeco y un aviso.</t>
  </si>
  <si>
    <t>Paso sin avanzar</t>
  </si>
  <si>
    <t>Observado: matar al muñeco con el arma equivocada no cuenta y aparece otro: true
Automatizado (QA/automation).</t>
  </si>
  <si>
    <t>Sigilo: ser detectado no cuenta</t>
  </si>
  <si>
    <t>TUT_03</t>
  </si>
  <si>
    <t>Verificar las reglas de los pasos de sigilo</t>
  </si>
  <si>
    <t>Pasos de sigilo y punto ciego</t>
  </si>
  <si>
    <t>1. Cruzar la zona con el guardia atacando.
2. Matar al guardia de frente.</t>
  </si>
  <si>
    <t>Ninguno cuenta; aparece un aviso o un nuevo guardia.</t>
  </si>
  <si>
    <t>Pasos sin avanzar</t>
  </si>
  <si>
    <t>Observado: cruzar detectado no cuenta=true; matar al guardia de frente no cuenta=true
Automatizado (QA/automation).</t>
  </si>
  <si>
    <t>La tecla N salta un paso</t>
  </si>
  <si>
    <t>TUT_04</t>
  </si>
  <si>
    <t>Verificar el salto de pasos</t>
  </si>
  <si>
    <t>Tutorial en el paso 1</t>
  </si>
  <si>
    <t>1. Presionar N.</t>
  </si>
  <si>
    <t>Avanza al paso 2.</t>
  </si>
  <si>
    <t>Paso 2</t>
  </si>
  <si>
    <t>Observado: tecla N: paso 1 -&gt; 2
Automatizado (QA/automation).</t>
  </si>
  <si>
    <t>El tutorial se guarda como completado</t>
  </si>
  <si>
    <t>TUT_05</t>
  </si>
  <si>
    <t>Verificar la persistencia del tutorial</t>
  </si>
  <si>
    <t>Tutorial terminado</t>
  </si>
  <si>
    <t>1. Terminar el tutorial.
2. Revisar progress.cfg.</t>
  </si>
  <si>
    <t>tutorial_done queda escrito en disco.</t>
  </si>
  <si>
    <t>Observado: tutorial_done=true y progreso escrito en disco
Automatizado (QA/automation).</t>
  </si>
  <si>
    <t>Todas las escenas y scripts cargan</t>
  </si>
  <si>
    <t>STB_01</t>
  </si>
  <si>
    <t>Detectar errores de carga</t>
  </si>
  <si>
    <t>Proyecto abierto</t>
  </si>
  <si>
    <t>1. Cargar todos los .gd y .tscn.</t>
  </si>
  <si>
    <t>Ninguno falla.</t>
  </si>
  <si>
    <t>Observado: 51 scripts/escenas cargados; fallos: []
Automatizado (QA/automation).</t>
  </si>
  <si>
    <t>Sin errores de script durante la simulación completa</t>
  </si>
  <si>
    <t>STB_02</t>
  </si>
  <si>
    <t>Detectar errores en ejecución</t>
  </si>
  <si>
    <t>Corrida completa del QA (~5 min)</t>
  </si>
  <si>
    <t>1. Ejecutar los 54 casos automáticos.
2. Buscar "SCRIPT ERROR" en la salida.</t>
  </si>
  <si>
    <t>Cero errores.</t>
  </si>
  <si>
    <t>Salida limpia</t>
  </si>
  <si>
    <t>Observado: 0 líneas "SCRIPT ERROR" en toda la salida de la corrida (54 casos automáticos, ~5 min de simulación).
Automatizado (QA/automation).</t>
  </si>
  <si>
    <t>Rendimiento en el peor caso</t>
  </si>
  <si>
    <t>STB_03</t>
  </si>
  <si>
    <t>Verificar los FPS con carga máxima</t>
  </si>
  <si>
    <t>1. Nivel 3 en Difícil (9 enemigos).
2. Berserk.
3. Ráfagas de escopeta y rifle durante 8 s.</t>
  </si>
  <si>
    <t>Promedio &gt;= 45 FPS y mínimo &gt;= 25.</t>
  </si>
  <si>
    <t>Observado: nivel 3 Difícil (9 enemigos), berserk y ráfagas de escopeta+rifle durante 8 s: FPS promedio 60, mínimo 59; memoria 82 MB
Automatizado (QA/automation).</t>
  </si>
  <si>
    <t>La interfaz se adapta a varias resoluciones</t>
  </si>
  <si>
    <t>UI_01</t>
  </si>
  <si>
    <t>Verificar HUD y menús</t>
  </si>
  <si>
    <t>1. Abrir el juego en 1280x720, 1920x1080, 1024x768 y 800x600.
2. Revisar HUD y menú.</t>
  </si>
  <si>
    <t>4 resoluciones</t>
  </si>
  <si>
    <t>Se mantienen las proporciones, sin elementos solapados o cortados.</t>
  </si>
  <si>
    <t>Observado: Capturas de 1280x720, 1920x1080, 1024x768 y 800x600 revisadas: proporciones intactas, sin solapes.
Revisado por capturas de pantalla. A 800x600 el texto pequeño sigue siendo legible pero justo.</t>
  </si>
  <si>
    <t>Sonidos y música</t>
  </si>
  <si>
    <t>AUD_01</t>
  </si>
  <si>
    <t>Verificar el audio del juego</t>
  </si>
  <si>
    <t>1. Disparar, caminar y abrir menús.</t>
  </si>
  <si>
    <t>Suenan disparos, pasos y música.</t>
  </si>
  <si>
    <t>Blocked</t>
  </si>
  <si>
    <t>No aplica</t>
  </si>
  <si>
    <t>BLOQUEADO: el proyecto no tiene archivos de audio (solo los buses Music y SFX están listos).</t>
  </si>
  <si>
    <t>Control con mando</t>
  </si>
  <si>
    <t>INP_01</t>
  </si>
  <si>
    <t>Verificar soporte de gamepad</t>
  </si>
  <si>
    <t>Mando conectado</t>
  </si>
  <si>
    <t>1. Mover y disparar con el mando.</t>
  </si>
  <si>
    <t>El personaje responde al mando.</t>
  </si>
  <si>
    <t>Not Executed</t>
  </si>
  <si>
    <t>No ejecutado: no hay acciones de mando configuradas.</t>
  </si>
  <si>
    <t>Juego exportado (.exe)</t>
  </si>
  <si>
    <t>EXP_01</t>
  </si>
  <si>
    <t>Verificar el ejecutable exportado</t>
  </si>
  <si>
    <t>Plantillas de exportación instaladas</t>
  </si>
  <si>
    <t>1. Exportar.
2. Ejecutar el .exe.</t>
  </si>
  <si>
    <t>Se comporta igual que en el editor.</t>
  </si>
  <si>
    <t>No ejecutado: solo se probó con Godot 4.7.1 desde el proyecto.</t>
  </si>
  <si>
    <t>Prueba con jugadores reales (balance y sensación)</t>
  </si>
  <si>
    <t>UX_01</t>
  </si>
  <si>
    <t>Evaluar dificultad, sigilo y comodidad</t>
  </si>
  <si>
    <t>Al menos 3 jugadores nuevos</t>
  </si>
  <si>
    <t>1. Jugar tutorial y niveles 1-3.
2. Anotar dónde se atascan.</t>
  </si>
  <si>
    <t>Entienden el sigilo y el cuchillo sin ayuda; la dificultad se siente justa.</t>
  </si>
  <si>
    <t>No ejecutado: requiere personas. Recomendado antes de entregar.</t>
  </si>
  <si>
    <t>Resumen de la ejecución de QA - DeathPixel</t>
  </si>
  <si>
    <t>Fecha: 2026-09-21   |   Todos los valores de esta hoja se calculan con fórmulas desde la hoja "Test Cases".</t>
  </si>
  <si>
    <t>Estado</t>
  </si>
  <si>
    <t>Casos</t>
  </si>
  <si>
    <t>% del total</t>
  </si>
  <si>
    <t>Fail</t>
  </si>
  <si>
    <t>Total</t>
  </si>
  <si>
    <t>Casos ejecutados (Pass + Fail)</t>
  </si>
  <si>
    <t>Tasa de éxito sobre lo ejecutado</t>
  </si>
  <si>
    <t>Cobertura ejecutada sobre el plan</t>
  </si>
  <si>
    <t>Módulo</t>
  </si>
  <si>
    <t>Descripción</t>
  </si>
  <si>
    <t>MEN</t>
  </si>
  <si>
    <t>Menú principal</t>
  </si>
  <si>
    <t>LVL</t>
  </si>
  <si>
    <t>Niveles y progresión</t>
  </si>
  <si>
    <t>SET</t>
  </si>
  <si>
    <t>Ajustes</t>
  </si>
  <si>
    <t>HUD</t>
  </si>
  <si>
    <t>Interfaz en partida</t>
  </si>
  <si>
    <t>WPN</t>
  </si>
  <si>
    <t>Armas y melee</t>
  </si>
  <si>
    <t>AI</t>
  </si>
  <si>
    <t>Sigilo e IA de enemigos</t>
  </si>
  <si>
    <t>FLW</t>
  </si>
  <si>
    <t>Combo y modo flow</t>
  </si>
  <si>
    <t>OBJ</t>
  </si>
  <si>
    <t>Botín, llave y puertas</t>
  </si>
  <si>
    <t>CTL</t>
  </si>
  <si>
    <t>Mouse y entrada</t>
  </si>
  <si>
    <t>PER</t>
  </si>
  <si>
    <t>Persistencia</t>
  </si>
  <si>
    <t>TUT</t>
  </si>
  <si>
    <t>Tutorial</t>
  </si>
  <si>
    <t>STB</t>
  </si>
  <si>
    <t>Estabilidad y rendimiento</t>
  </si>
  <si>
    <t>UI</t>
  </si>
  <si>
    <t>Resoluciones</t>
  </si>
  <si>
    <t>AUD</t>
  </si>
  <si>
    <t>Audio</t>
  </si>
  <si>
    <t>INP</t>
  </si>
  <si>
    <t>Mando</t>
  </si>
  <si>
    <t>EXP</t>
  </si>
  <si>
    <t>Exportación</t>
  </si>
  <si>
    <t>UX</t>
  </si>
  <si>
    <t>Pruebas con jugadores</t>
  </si>
  <si>
    <t>Comprobación: el total por módulos debe coincidir con el total por estado.</t>
  </si>
  <si>
    <t>CÓMO SE EJECUTÓ</t>
  </si>
  <si>
    <t>• 55 casos se automatizaron con scripts de Godot 4.7.1 que juegan el juego real (carpeta QA/automation del proyecto): qa_runner.gd (sin ventana) y qa_windowed.gd (con ventana).</t>
  </si>
  <si>
    <t>• Los casos de interfaz y resoluciones se revisaron además con capturas de pantalla. Las balas, el sigilo, la nota y el tutorial se revisaron visualmente.</t>
  </si>
  <si>
    <t>• Estado "Blocked": el juego no tiene audio. "Not Executed": mando, exportación y pruebas con personas no se hicieron (ver hoja Defectos y la lista de riesgos).</t>
  </si>
  <si>
    <t>• Los datos guardados del jugador (progreso y ajustes) se respaldaron antes de cada corrida y se restauraron después.</t>
  </si>
  <si>
    <t>LO QUE ESTE QA NO PUEDE DECIR</t>
  </si>
  <si>
    <t>• Si el balance de dificultad y el sigilo "se sienten bien": eso necesita jugadores humanos (caso UX_01).</t>
  </si>
  <si>
    <t>Defectos y hallazgos de esta ronda de QA</t>
  </si>
  <si>
    <t>ID</t>
  </si>
  <si>
    <t>Severidad</t>
  </si>
  <si>
    <t>Cómo se encontró</t>
  </si>
  <si>
    <t>Causa</t>
  </si>
  <si>
    <t>Verificado con</t>
  </si>
  <si>
    <t>DEF-01</t>
  </si>
  <si>
    <t>Crítica</t>
  </si>
  <si>
    <t>El juego se cierra por completo (crash del motor, señal 11) al entrar a la zona de sigilo del tutorial mientras el guardia ya te había detectado.</t>
  </si>
  <si>
    <t>Caso TUT_01 (recorrido automático del tutorial).</t>
  </si>
  <si>
    <t>Bucle infinito: la zona se "rearmaba" a sí misma de inmediato y volvía a dispararse hasta desbordar la cola de mensajes del motor.</t>
  </si>
  <si>
    <t>Corregido</t>
  </si>
  <si>
    <t>TUT_01, TUT_03</t>
  </si>
  <si>
    <t>DEF-02</t>
  </si>
  <si>
    <t>Menor</t>
  </si>
  <si>
    <t>La barra SIGILO mostraba SOSPECHA en lugar de ¡DETECTADO! cuando un enemigo en combate perdía de vista un instante al jugador.</t>
  </si>
  <si>
    <t>Caso HUD_04.</t>
  </si>
  <si>
    <t>El HUD solo miraba el nivel de detección, no el estado de combate del enemigo.</t>
  </si>
  <si>
    <t>DEF-03</t>
  </si>
  <si>
    <t>Interfaz</t>
  </si>
  <si>
    <t>Los nombres de teclas se veían con mayúsculas inconsistentes ("Shift" junto a "R").</t>
  </si>
  <si>
    <t>Revisión visual de capturas.</t>
  </si>
  <si>
    <t>OS.get_keycode_string devuelve el nombre tal cual.</t>
  </si>
  <si>
    <t>Capturas del HUD y la pausa</t>
  </si>
  <si>
    <t>DEF-04</t>
  </si>
  <si>
    <t>La barra de controles del principio del nivel rozaba la barra de vida.</t>
  </si>
  <si>
    <t>Posición demasiado alta y ancho excesivo.</t>
  </si>
  <si>
    <t>Capturas del nivel 1</t>
  </si>
  <si>
    <t>DEF-05</t>
  </si>
  <si>
    <t>Baja</t>
  </si>
  <si>
    <t>En modo sin ventana aparecían errores "Not supported by this display server" al pedir el nombre de una tecla.</t>
  </si>
  <si>
    <t>Salida de la consola durante TUT_01.</t>
  </si>
  <si>
    <t>keyboard_get_keycode_from_physical no existe en el servidor de pantalla ficticio.</t>
  </si>
  <si>
    <t>TD-01</t>
  </si>
  <si>
    <t>Defecto del test</t>
  </si>
  <si>
    <t>Falló la primera vez: etiquetas invertidas (Normal/Difícil) y pulsación de 3 frames, demasiado corta sin ventana.</t>
  </si>
  <si>
    <t>Ejecución 1 del QA.</t>
  </si>
  <si>
    <t>Script de prueba mal armado. Una sonda independiente en tiempo real confirmó que el juego se comporta bien.</t>
  </si>
  <si>
    <t>Corregido en el test</t>
  </si>
  <si>
    <t>WPN_05, WPN_08</t>
  </si>
  <si>
    <t>TD-02</t>
  </si>
  <si>
    <t>Falló la primera vez por exigir un 66% de botiquines cuando la lógica da ~50% con vida baja.</t>
  </si>
  <si>
    <t>Umbral del test demasiado estricto (el botín sí prioriza lo que falta).</t>
  </si>
  <si>
    <t>TD-03</t>
  </si>
  <si>
    <t>No se puede medir el modo del mouse sin ventana.</t>
  </si>
  <si>
    <t>El servidor de pantalla ficticio siempre devuelve el modo 0.</t>
  </si>
  <si>
    <t>Resuelto ejecutando con ventana</t>
  </si>
  <si>
    <t>CTL_01 (ventana)</t>
  </si>
  <si>
    <t>RIESGO-01</t>
  </si>
  <si>
    <t>Pendiente</t>
  </si>
  <si>
    <t>El juego no tiene ningún sonido: los deslizadores de audio ya funcionan, pero no hay nada que suene.</t>
  </si>
  <si>
    <t>Faltan los archivos de audio.</t>
  </si>
  <si>
    <t>Abierto</t>
  </si>
  <si>
    <t>AUD_01 (Blocked)</t>
  </si>
  <si>
    <t>RIESGO-02</t>
  </si>
  <si>
    <t>Balance</t>
  </si>
  <si>
    <t>No se sabe cómo se siente el sigilo/dificultad para un jugador nuevo.</t>
  </si>
  <si>
    <t>Requiere pruebas con personas.</t>
  </si>
  <si>
    <t>UX_01 (Not Executed)</t>
  </si>
  <si>
    <t>RIESGO-03</t>
  </si>
  <si>
    <t>Entrada / Exportación</t>
  </si>
  <si>
    <t>No se probó mando ni el ejecutable exportado.</t>
  </si>
  <si>
    <t>No implementado / no ejecutado.</t>
  </si>
  <si>
    <t>INP_01, EXP_01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</si>
</sst>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rgb="FF000000"/>
      <name val="Arial"/>
      <scheme val="minor"/>
    </font>
    <font>
      <b/>
      <sz val="19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b/>
      <sz val="10"/>
      <name val="Arial"/>
    </font>
    <font>
      <b/>
      <sz val="16"/>
      <name val="Arial"/>
    </font>
    <font>
      <i/>
      <sz val="9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center"/>
    </xf>
    <xf numFmtId="0" fontId="6" fillId="0" borderId="10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2" fillId="0" borderId="11" xfId="0" applyFont="1" applyBorder="1" applyAlignment="1">
      <alignment vertical="top" wrapText="1"/>
    </xf>
    <xf numFmtId="0" fontId="8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0" fontId="11" fillId="2" borderId="11" xfId="0" applyFont="1" applyFill="1" applyBorder="1"/>
    <xf numFmtId="0" fontId="2" fillId="3" borderId="11" xfId="0" applyFont="1" applyFill="1" applyBorder="1"/>
    <xf numFmtId="0" fontId="2" fillId="0" borderId="11" xfId="0" applyFont="1" applyBorder="1"/>
    <xf numFmtId="164" fontId="2" fillId="0" borderId="11" xfId="0" applyNumberFormat="1" applyFont="1" applyBorder="1"/>
    <xf numFmtId="0" fontId="2" fillId="4" borderId="11" xfId="0" applyFont="1" applyFill="1" applyBorder="1"/>
    <xf numFmtId="0" fontId="2" fillId="5" borderId="11" xfId="0" applyFont="1" applyFill="1" applyBorder="1"/>
    <xf numFmtId="0" fontId="2" fillId="6" borderId="11" xfId="0" applyFont="1" applyFill="1" applyBorder="1"/>
    <xf numFmtId="0" fontId="11" fillId="0" borderId="11" xfId="0" applyFont="1" applyBorder="1"/>
    <xf numFmtId="164" fontId="11" fillId="0" borderId="11" xfId="0" applyNumberFormat="1" applyFont="1" applyBorder="1"/>
    <xf numFmtId="0" fontId="11" fillId="0" borderId="0" xfId="0" applyFont="1"/>
    <xf numFmtId="0" fontId="2" fillId="0" borderId="0" xfId="0" applyFont="1"/>
    <xf numFmtId="0" fontId="11" fillId="2" borderId="11" xfId="0" applyFont="1" applyFill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2" xfId="0" applyBorder="1"/>
    <xf numFmtId="0" fontId="4" fillId="0" borderId="10" xfId="0" applyFont="1" applyBorder="1"/>
    <xf numFmtId="0" fontId="1" fillId="2" borderId="10" xfId="0" applyFont="1" applyFill="1" applyBorder="1" applyAlignment="1">
      <alignment horizontal="center"/>
    </xf>
    <xf numFmtId="0" fontId="0" fillId="0" borderId="1" xfId="0" applyBorder="1"/>
    <xf numFmtId="0" fontId="5" fillId="0" borderId="10" xfId="0" applyFont="1" applyBorder="1"/>
    <xf numFmtId="0" fontId="5" fillId="0" borderId="10" xfId="0" applyFont="1" applyBorder="1" applyAlignment="1">
      <alignment horizontal="center" vertical="center" wrapText="1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/>
  </cellXfs>
  <cellStyles count="1">
    <cellStyle name="Normal" xfId="0" builtinId="0"/>
  </cellStyles>
  <dxfs count="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1620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78"/>
  <sheetViews>
    <sheetView tabSelected="1" topLeftCell="M7" workbookViewId="0">
      <selection activeCell="B7" sqref="A7:XFD7"/>
    </sheetView>
  </sheetViews>
  <sheetFormatPr defaultColWidth="12.5546875" defaultRowHeight="15.75" customHeight="1" x14ac:dyDescent="0.25"/>
  <cols>
    <col min="1" max="1" width="2.88671875" customWidth="1"/>
    <col min="2" max="2" width="34" customWidth="1"/>
    <col min="3" max="3" width="11" customWidth="1"/>
    <col min="4" max="4" width="34" customWidth="1"/>
    <col min="5" max="5" width="28" customWidth="1"/>
    <col min="6" max="6" width="46" customWidth="1"/>
    <col min="7" max="7" width="22" customWidth="1"/>
    <col min="8" max="8" width="42" customWidth="1"/>
    <col min="9" max="10" width="15" customWidth="1"/>
    <col min="11" max="11" width="24" customWidth="1"/>
    <col min="12" max="12" width="26" customWidth="1"/>
    <col min="13" max="13" width="58" customWidth="1"/>
    <col min="14" max="14" width="3.109375" customWidth="1"/>
  </cols>
  <sheetData>
    <row r="1" spans="1:14" ht="24" x14ac:dyDescent="0.4">
      <c r="A1" s="30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2"/>
      <c r="N1" s="30"/>
    </row>
    <row r="2" spans="1:14" ht="13.2" x14ac:dyDescent="0.25">
      <c r="A2" s="29"/>
      <c r="B2" s="31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29"/>
    </row>
    <row r="3" spans="1:14" ht="13.2" x14ac:dyDescent="0.25">
      <c r="A3" s="29"/>
      <c r="B3" s="34"/>
      <c r="C3" s="29"/>
      <c r="D3" s="29"/>
      <c r="E3" s="29"/>
      <c r="F3" s="29"/>
      <c r="G3" s="29"/>
      <c r="H3" s="29"/>
      <c r="I3" s="29"/>
      <c r="J3" s="29"/>
      <c r="K3" s="29"/>
      <c r="L3" s="29"/>
      <c r="M3" s="35"/>
      <c r="N3" s="29"/>
    </row>
    <row r="4" spans="1:14" ht="13.2" x14ac:dyDescent="0.25">
      <c r="A4" s="29"/>
      <c r="B4" s="34"/>
      <c r="C4" s="29"/>
      <c r="D4" s="29"/>
      <c r="E4" s="29"/>
      <c r="F4" s="29"/>
      <c r="G4" s="29"/>
      <c r="H4" s="29"/>
      <c r="I4" s="29"/>
      <c r="J4" s="29"/>
      <c r="K4" s="29"/>
      <c r="L4" s="29"/>
      <c r="M4" s="35"/>
      <c r="N4" s="29"/>
    </row>
    <row r="5" spans="1:14" ht="13.2" x14ac:dyDescent="0.25">
      <c r="A5" s="29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8"/>
      <c r="N5" s="29"/>
    </row>
    <row r="6" spans="1:14" ht="24.6" customHeight="1" x14ac:dyDescent="0.25">
      <c r="A6" s="29"/>
      <c r="B6" s="23" t="s">
        <v>1</v>
      </c>
      <c r="C6" s="22"/>
      <c r="D6" s="21" t="s">
        <v>2</v>
      </c>
      <c r="E6" s="22"/>
      <c r="F6" s="39"/>
      <c r="G6" s="29"/>
      <c r="H6" s="29"/>
      <c r="I6" s="29"/>
      <c r="J6" s="29"/>
      <c r="K6" s="29"/>
      <c r="L6" s="29"/>
      <c r="M6" s="35"/>
      <c r="N6" s="29"/>
    </row>
    <row r="7" spans="1:14" ht="35.4" customHeight="1" x14ac:dyDescent="0.25">
      <c r="A7" s="29"/>
      <c r="B7" s="23" t="s">
        <v>3</v>
      </c>
      <c r="C7" s="22"/>
      <c r="D7" s="21" t="s">
        <v>4</v>
      </c>
      <c r="E7" s="22"/>
      <c r="F7" s="29"/>
      <c r="G7" s="29"/>
      <c r="H7" s="29"/>
      <c r="I7" s="29"/>
      <c r="J7" s="29"/>
      <c r="K7" s="29"/>
      <c r="L7" s="29"/>
      <c r="M7" s="35"/>
      <c r="N7" s="29"/>
    </row>
    <row r="8" spans="1:14" ht="42.6" customHeight="1" x14ac:dyDescent="0.25">
      <c r="A8" s="29"/>
      <c r="B8" s="23" t="s">
        <v>5</v>
      </c>
      <c r="C8" s="22"/>
      <c r="D8" s="21" t="s">
        <v>6</v>
      </c>
      <c r="E8" s="22"/>
      <c r="F8" s="29"/>
      <c r="G8" s="29"/>
      <c r="H8" s="29"/>
      <c r="I8" s="29"/>
      <c r="J8" s="29"/>
      <c r="K8" s="29"/>
      <c r="L8" s="29"/>
      <c r="M8" s="35"/>
      <c r="N8" s="29"/>
    </row>
    <row r="9" spans="1:14" ht="19.5" customHeight="1" x14ac:dyDescent="0.25">
      <c r="A9" s="29"/>
      <c r="B9" s="26" t="s">
        <v>7</v>
      </c>
      <c r="C9" s="22"/>
      <c r="D9" s="21" t="s">
        <v>8</v>
      </c>
      <c r="E9" s="22"/>
      <c r="F9" s="29"/>
      <c r="G9" s="29"/>
      <c r="H9" s="29"/>
      <c r="I9" s="29"/>
      <c r="J9" s="29"/>
      <c r="K9" s="29"/>
      <c r="L9" s="29"/>
      <c r="M9" s="35"/>
      <c r="N9" s="29"/>
    </row>
    <row r="10" spans="1:14" ht="19.5" customHeight="1" x14ac:dyDescent="0.25">
      <c r="A10" s="29"/>
      <c r="B10" s="26" t="s">
        <v>9</v>
      </c>
      <c r="C10" s="22"/>
      <c r="D10" s="21" t="s">
        <v>10</v>
      </c>
      <c r="E10" s="22"/>
      <c r="F10" s="29"/>
      <c r="G10" s="29"/>
      <c r="H10" s="29"/>
      <c r="I10" s="29"/>
      <c r="J10" s="29"/>
      <c r="K10" s="29"/>
      <c r="L10" s="29"/>
      <c r="M10" s="35"/>
      <c r="N10" s="29"/>
    </row>
    <row r="11" spans="1:14" ht="19.5" customHeight="1" x14ac:dyDescent="0.25">
      <c r="A11" s="29"/>
      <c r="B11" s="23" t="s">
        <v>11</v>
      </c>
      <c r="C11" s="22"/>
      <c r="D11" s="27" t="s">
        <v>12</v>
      </c>
      <c r="E11" s="22"/>
      <c r="F11" s="29"/>
      <c r="G11" s="29"/>
      <c r="H11" s="29"/>
      <c r="I11" s="29"/>
      <c r="J11" s="29"/>
      <c r="K11" s="29"/>
      <c r="L11" s="29"/>
      <c r="M11" s="35"/>
      <c r="N11" s="29"/>
    </row>
    <row r="12" spans="1:14" ht="19.5" customHeight="1" x14ac:dyDescent="0.25">
      <c r="A12" s="29"/>
      <c r="B12" s="26" t="s">
        <v>13</v>
      </c>
      <c r="C12" s="22"/>
      <c r="D12" s="27" t="s">
        <v>14</v>
      </c>
      <c r="E12" s="22"/>
      <c r="F12" s="29"/>
      <c r="G12" s="29"/>
      <c r="H12" s="29"/>
      <c r="I12" s="29"/>
      <c r="J12" s="29"/>
      <c r="K12" s="29"/>
      <c r="L12" s="29"/>
      <c r="M12" s="35"/>
      <c r="N12" s="29"/>
    </row>
    <row r="13" spans="1:14" ht="19.5" customHeight="1" x14ac:dyDescent="0.25">
      <c r="A13" s="29"/>
      <c r="B13" s="23" t="s">
        <v>15</v>
      </c>
      <c r="C13" s="22"/>
      <c r="D13" s="27" t="s">
        <v>12</v>
      </c>
      <c r="E13" s="22"/>
      <c r="F13" s="37"/>
      <c r="G13" s="37"/>
      <c r="H13" s="37"/>
      <c r="I13" s="37"/>
      <c r="J13" s="37"/>
      <c r="K13" s="37"/>
      <c r="L13" s="37"/>
      <c r="M13" s="38"/>
      <c r="N13" s="29"/>
    </row>
    <row r="14" spans="1:14" ht="24" x14ac:dyDescent="0.4">
      <c r="A14" s="29"/>
      <c r="B14" s="24"/>
      <c r="C14" s="25"/>
      <c r="D14" s="25"/>
      <c r="E14" s="25"/>
      <c r="F14" s="22"/>
      <c r="G14" s="1"/>
      <c r="H14" s="1"/>
      <c r="I14" s="1"/>
      <c r="J14" s="1"/>
      <c r="K14" s="1"/>
      <c r="L14" s="1"/>
      <c r="M14" s="1"/>
      <c r="N14" s="29"/>
    </row>
    <row r="15" spans="1:14" ht="31.2" x14ac:dyDescent="0.3">
      <c r="A15" s="29"/>
      <c r="B15" s="2" t="s">
        <v>16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 t="s">
        <v>24</v>
      </c>
      <c r="K15" s="3" t="s">
        <v>25</v>
      </c>
      <c r="L15" s="3" t="s">
        <v>26</v>
      </c>
      <c r="M15" s="3" t="s">
        <v>27</v>
      </c>
      <c r="N15" s="29"/>
    </row>
    <row r="16" spans="1:14" ht="49.05" customHeight="1" x14ac:dyDescent="0.25">
      <c r="A16" s="29"/>
      <c r="B16" s="4" t="s">
        <v>28</v>
      </c>
      <c r="C16" s="5" t="s">
        <v>29</v>
      </c>
      <c r="D16" s="4" t="s">
        <v>30</v>
      </c>
      <c r="E16" s="4" t="s">
        <v>31</v>
      </c>
      <c r="F16" s="4" t="s">
        <v>32</v>
      </c>
      <c r="G16" s="4" t="s">
        <v>33</v>
      </c>
      <c r="H16" s="4" t="s">
        <v>34</v>
      </c>
      <c r="I16" s="6" t="s">
        <v>35</v>
      </c>
      <c r="J16" s="6" t="s">
        <v>36</v>
      </c>
      <c r="K16" s="4" t="s">
        <v>37</v>
      </c>
      <c r="L16" s="4" t="s">
        <v>38</v>
      </c>
      <c r="M16" s="4" t="s">
        <v>39</v>
      </c>
      <c r="N16" s="29"/>
    </row>
    <row r="17" spans="1:14" ht="34.049999999999997" customHeight="1" x14ac:dyDescent="0.25">
      <c r="A17" s="29"/>
      <c r="B17" s="4" t="s">
        <v>40</v>
      </c>
      <c r="C17" s="5" t="s">
        <v>41</v>
      </c>
      <c r="D17" s="4" t="s">
        <v>42</v>
      </c>
      <c r="E17" s="4" t="s">
        <v>43</v>
      </c>
      <c r="F17" s="4" t="s">
        <v>44</v>
      </c>
      <c r="G17" s="4" t="s">
        <v>45</v>
      </c>
      <c r="H17" s="4" t="s">
        <v>46</v>
      </c>
      <c r="I17" s="6" t="s">
        <v>35</v>
      </c>
      <c r="J17" s="6" t="s">
        <v>36</v>
      </c>
      <c r="K17" s="4" t="s">
        <v>47</v>
      </c>
      <c r="L17" s="4" t="s">
        <v>38</v>
      </c>
      <c r="M17" s="4" t="s">
        <v>48</v>
      </c>
      <c r="N17" s="29"/>
    </row>
    <row r="18" spans="1:14" ht="34.049999999999997" customHeight="1" x14ac:dyDescent="0.25">
      <c r="A18" s="29"/>
      <c r="B18" s="4" t="s">
        <v>49</v>
      </c>
      <c r="C18" s="5" t="s">
        <v>50</v>
      </c>
      <c r="D18" s="4" t="s">
        <v>51</v>
      </c>
      <c r="E18" s="4" t="s">
        <v>52</v>
      </c>
      <c r="F18" s="4" t="s">
        <v>53</v>
      </c>
      <c r="G18" s="4" t="s">
        <v>54</v>
      </c>
      <c r="H18" s="4" t="s">
        <v>55</v>
      </c>
      <c r="I18" s="6" t="s">
        <v>35</v>
      </c>
      <c r="J18" s="6" t="s">
        <v>36</v>
      </c>
      <c r="K18" s="4" t="s">
        <v>56</v>
      </c>
      <c r="L18" s="4" t="s">
        <v>38</v>
      </c>
      <c r="M18" s="4" t="s">
        <v>57</v>
      </c>
      <c r="N18" s="29"/>
    </row>
    <row r="19" spans="1:14" ht="64.05" customHeight="1" x14ac:dyDescent="0.25">
      <c r="A19" s="29"/>
      <c r="B19" s="4" t="s">
        <v>58</v>
      </c>
      <c r="C19" s="5" t="s">
        <v>59</v>
      </c>
      <c r="D19" s="4" t="s">
        <v>60</v>
      </c>
      <c r="E19" s="4" t="s">
        <v>61</v>
      </c>
      <c r="F19" s="4" t="s">
        <v>62</v>
      </c>
      <c r="G19" s="4" t="s">
        <v>33</v>
      </c>
      <c r="H19" s="4" t="s">
        <v>63</v>
      </c>
      <c r="I19" s="6" t="s">
        <v>35</v>
      </c>
      <c r="J19" s="6" t="s">
        <v>36</v>
      </c>
      <c r="K19" s="4" t="s">
        <v>64</v>
      </c>
      <c r="L19" s="4" t="s">
        <v>38</v>
      </c>
      <c r="M19" s="4" t="s">
        <v>65</v>
      </c>
      <c r="N19" s="29"/>
    </row>
    <row r="20" spans="1:14" ht="79.05" customHeight="1" x14ac:dyDescent="0.25">
      <c r="A20" s="29"/>
      <c r="B20" s="4" t="s">
        <v>66</v>
      </c>
      <c r="C20" s="5" t="s">
        <v>67</v>
      </c>
      <c r="D20" s="4" t="s">
        <v>68</v>
      </c>
      <c r="E20" s="4" t="s">
        <v>61</v>
      </c>
      <c r="F20" s="4" t="s">
        <v>69</v>
      </c>
      <c r="G20" s="4" t="s">
        <v>33</v>
      </c>
      <c r="H20" s="4" t="s">
        <v>70</v>
      </c>
      <c r="I20" s="6" t="s">
        <v>35</v>
      </c>
      <c r="J20" s="6" t="s">
        <v>36</v>
      </c>
      <c r="K20" s="4" t="s">
        <v>61</v>
      </c>
      <c r="L20" s="4" t="s">
        <v>38</v>
      </c>
      <c r="M20" s="4" t="s">
        <v>71</v>
      </c>
      <c r="N20" s="29"/>
    </row>
    <row r="21" spans="1:14" ht="49.05" customHeight="1" x14ac:dyDescent="0.25">
      <c r="A21" s="29"/>
      <c r="B21" s="4" t="s">
        <v>72</v>
      </c>
      <c r="C21" s="5" t="s">
        <v>73</v>
      </c>
      <c r="D21" s="4" t="s">
        <v>74</v>
      </c>
      <c r="E21" s="4" t="s">
        <v>75</v>
      </c>
      <c r="F21" s="4" t="s">
        <v>76</v>
      </c>
      <c r="G21" s="4" t="s">
        <v>33</v>
      </c>
      <c r="H21" s="4" t="s">
        <v>77</v>
      </c>
      <c r="I21" s="6" t="s">
        <v>35</v>
      </c>
      <c r="J21" s="6" t="s">
        <v>36</v>
      </c>
      <c r="K21" s="4" t="s">
        <v>75</v>
      </c>
      <c r="L21" s="4" t="s">
        <v>38</v>
      </c>
      <c r="M21" s="4" t="s">
        <v>78</v>
      </c>
      <c r="N21" s="29"/>
    </row>
    <row r="22" spans="1:14" ht="49.05" customHeight="1" x14ac:dyDescent="0.25">
      <c r="A22" s="29"/>
      <c r="B22" s="4" t="s">
        <v>79</v>
      </c>
      <c r="C22" s="5" t="s">
        <v>80</v>
      </c>
      <c r="D22" s="4" t="s">
        <v>81</v>
      </c>
      <c r="E22" s="4" t="s">
        <v>82</v>
      </c>
      <c r="F22" s="4" t="s">
        <v>83</v>
      </c>
      <c r="G22" s="4" t="s">
        <v>84</v>
      </c>
      <c r="H22" s="4" t="s">
        <v>85</v>
      </c>
      <c r="I22" s="6" t="s">
        <v>35</v>
      </c>
      <c r="J22" s="6" t="s">
        <v>36</v>
      </c>
      <c r="K22" s="4" t="s">
        <v>86</v>
      </c>
      <c r="L22" s="4" t="s">
        <v>38</v>
      </c>
      <c r="M22" s="4" t="s">
        <v>87</v>
      </c>
      <c r="N22" s="29"/>
    </row>
    <row r="23" spans="1:14" ht="64.05" customHeight="1" x14ac:dyDescent="0.25">
      <c r="A23" s="29"/>
      <c r="B23" s="4" t="s">
        <v>88</v>
      </c>
      <c r="C23" s="5" t="s">
        <v>89</v>
      </c>
      <c r="D23" s="4" t="s">
        <v>90</v>
      </c>
      <c r="E23" s="4" t="s">
        <v>91</v>
      </c>
      <c r="F23" s="4" t="s">
        <v>92</v>
      </c>
      <c r="G23" s="4" t="s">
        <v>93</v>
      </c>
      <c r="H23" s="4" t="s">
        <v>94</v>
      </c>
      <c r="I23" s="6" t="s">
        <v>35</v>
      </c>
      <c r="J23" s="6" t="s">
        <v>36</v>
      </c>
      <c r="K23" s="4" t="s">
        <v>95</v>
      </c>
      <c r="L23" s="4" t="s">
        <v>38</v>
      </c>
      <c r="M23" s="4" t="s">
        <v>96</v>
      </c>
      <c r="N23" s="29"/>
    </row>
    <row r="24" spans="1:14" ht="79.05" customHeight="1" x14ac:dyDescent="0.25">
      <c r="A24" s="29"/>
      <c r="B24" s="4" t="s">
        <v>97</v>
      </c>
      <c r="C24" s="5" t="s">
        <v>98</v>
      </c>
      <c r="D24" s="4" t="s">
        <v>99</v>
      </c>
      <c r="E24" s="4" t="s">
        <v>100</v>
      </c>
      <c r="F24" s="4" t="s">
        <v>101</v>
      </c>
      <c r="G24" s="4" t="s">
        <v>102</v>
      </c>
      <c r="H24" s="4" t="s">
        <v>103</v>
      </c>
      <c r="I24" s="6" t="s">
        <v>35</v>
      </c>
      <c r="J24" s="6" t="s">
        <v>36</v>
      </c>
      <c r="K24" s="4" t="s">
        <v>104</v>
      </c>
      <c r="L24" s="4" t="s">
        <v>38</v>
      </c>
      <c r="M24" s="4" t="s">
        <v>105</v>
      </c>
      <c r="N24" s="29"/>
    </row>
    <row r="25" spans="1:14" ht="34.049999999999997" customHeight="1" x14ac:dyDescent="0.25">
      <c r="A25" s="29"/>
      <c r="B25" s="4" t="s">
        <v>106</v>
      </c>
      <c r="C25" s="5" t="s">
        <v>107</v>
      </c>
      <c r="D25" s="4" t="s">
        <v>108</v>
      </c>
      <c r="E25" s="4" t="s">
        <v>109</v>
      </c>
      <c r="F25" s="4" t="s">
        <v>110</v>
      </c>
      <c r="G25" s="4" t="s">
        <v>102</v>
      </c>
      <c r="H25" s="4" t="s">
        <v>111</v>
      </c>
      <c r="I25" s="6" t="s">
        <v>35</v>
      </c>
      <c r="J25" s="6" t="s">
        <v>36</v>
      </c>
      <c r="K25" s="4" t="s">
        <v>112</v>
      </c>
      <c r="L25" s="4" t="s">
        <v>38</v>
      </c>
      <c r="M25" s="4" t="s">
        <v>113</v>
      </c>
      <c r="N25" s="29"/>
    </row>
    <row r="26" spans="1:14" ht="49.05" customHeight="1" x14ac:dyDescent="0.25">
      <c r="A26" s="29"/>
      <c r="B26" s="4" t="s">
        <v>114</v>
      </c>
      <c r="C26" s="5" t="s">
        <v>115</v>
      </c>
      <c r="D26" s="4" t="s">
        <v>116</v>
      </c>
      <c r="E26" s="4" t="s">
        <v>117</v>
      </c>
      <c r="F26" s="4" t="s">
        <v>118</v>
      </c>
      <c r="G26" s="4" t="s">
        <v>119</v>
      </c>
      <c r="H26" s="4" t="s">
        <v>120</v>
      </c>
      <c r="I26" s="6" t="s">
        <v>35</v>
      </c>
      <c r="J26" s="6" t="s">
        <v>36</v>
      </c>
      <c r="K26" s="4" t="s">
        <v>121</v>
      </c>
      <c r="L26" s="4" t="s">
        <v>38</v>
      </c>
      <c r="M26" s="4" t="s">
        <v>122</v>
      </c>
      <c r="N26" s="29"/>
    </row>
    <row r="27" spans="1:14" ht="34.049999999999997" customHeight="1" x14ac:dyDescent="0.25">
      <c r="A27" s="29"/>
      <c r="B27" s="4" t="s">
        <v>123</v>
      </c>
      <c r="C27" s="5" t="s">
        <v>124</v>
      </c>
      <c r="D27" s="4" t="s">
        <v>125</v>
      </c>
      <c r="E27" s="4" t="s">
        <v>126</v>
      </c>
      <c r="F27" s="4" t="s">
        <v>127</v>
      </c>
      <c r="G27" s="4" t="s">
        <v>128</v>
      </c>
      <c r="H27" s="4" t="s">
        <v>129</v>
      </c>
      <c r="I27" s="6" t="s">
        <v>35</v>
      </c>
      <c r="J27" s="6" t="s">
        <v>36</v>
      </c>
      <c r="K27" s="4" t="s">
        <v>130</v>
      </c>
      <c r="L27" s="4" t="s">
        <v>38</v>
      </c>
      <c r="M27" s="4" t="s">
        <v>131</v>
      </c>
      <c r="N27" s="29"/>
    </row>
    <row r="28" spans="1:14" ht="49.05" customHeight="1" x14ac:dyDescent="0.25">
      <c r="A28" s="29"/>
      <c r="B28" s="4" t="s">
        <v>132</v>
      </c>
      <c r="C28" s="5" t="s">
        <v>133</v>
      </c>
      <c r="D28" s="4" t="s">
        <v>134</v>
      </c>
      <c r="E28" s="4" t="s">
        <v>135</v>
      </c>
      <c r="F28" s="4" t="s">
        <v>136</v>
      </c>
      <c r="G28" s="4" t="s">
        <v>137</v>
      </c>
      <c r="H28" s="4" t="s">
        <v>138</v>
      </c>
      <c r="I28" s="6" t="s">
        <v>35</v>
      </c>
      <c r="J28" s="6" t="s">
        <v>36</v>
      </c>
      <c r="K28" s="4" t="s">
        <v>139</v>
      </c>
      <c r="L28" s="4" t="s">
        <v>38</v>
      </c>
      <c r="M28" s="4" t="s">
        <v>140</v>
      </c>
      <c r="N28" s="29"/>
    </row>
    <row r="29" spans="1:14" ht="64.05" customHeight="1" x14ac:dyDescent="0.25">
      <c r="A29" s="29"/>
      <c r="B29" s="4" t="s">
        <v>141</v>
      </c>
      <c r="C29" s="5" t="s">
        <v>142</v>
      </c>
      <c r="D29" s="4" t="s">
        <v>143</v>
      </c>
      <c r="E29" s="4" t="s">
        <v>135</v>
      </c>
      <c r="F29" s="4" t="s">
        <v>144</v>
      </c>
      <c r="G29" s="4" t="s">
        <v>145</v>
      </c>
      <c r="H29" s="4" t="s">
        <v>146</v>
      </c>
      <c r="I29" s="6" t="s">
        <v>35</v>
      </c>
      <c r="J29" s="6" t="s">
        <v>36</v>
      </c>
      <c r="K29" s="4" t="s">
        <v>147</v>
      </c>
      <c r="L29" s="4" t="s">
        <v>38</v>
      </c>
      <c r="M29" s="4" t="s">
        <v>148</v>
      </c>
      <c r="N29" s="29"/>
    </row>
    <row r="30" spans="1:14" ht="49.05" customHeight="1" x14ac:dyDescent="0.25">
      <c r="A30" s="29"/>
      <c r="B30" s="4" t="s">
        <v>149</v>
      </c>
      <c r="C30" s="5" t="s">
        <v>150</v>
      </c>
      <c r="D30" s="4" t="s">
        <v>151</v>
      </c>
      <c r="E30" s="4" t="s">
        <v>152</v>
      </c>
      <c r="F30" s="4" t="s">
        <v>153</v>
      </c>
      <c r="G30" s="4" t="s">
        <v>154</v>
      </c>
      <c r="H30" s="4" t="s">
        <v>155</v>
      </c>
      <c r="I30" s="6" t="s">
        <v>35</v>
      </c>
      <c r="J30" s="6" t="s">
        <v>36</v>
      </c>
      <c r="K30" s="4" t="s">
        <v>156</v>
      </c>
      <c r="L30" s="4" t="s">
        <v>38</v>
      </c>
      <c r="M30" s="4" t="s">
        <v>157</v>
      </c>
      <c r="N30" s="29"/>
    </row>
    <row r="31" spans="1:14" ht="49.05" customHeight="1" x14ac:dyDescent="0.25">
      <c r="A31" s="29"/>
      <c r="B31" s="4" t="s">
        <v>158</v>
      </c>
      <c r="C31" s="5" t="s">
        <v>159</v>
      </c>
      <c r="D31" s="4" t="s">
        <v>160</v>
      </c>
      <c r="E31" s="4" t="s">
        <v>135</v>
      </c>
      <c r="F31" s="4" t="s">
        <v>161</v>
      </c>
      <c r="G31" s="4" t="s">
        <v>162</v>
      </c>
      <c r="H31" s="4" t="s">
        <v>163</v>
      </c>
      <c r="I31" s="6" t="s">
        <v>35</v>
      </c>
      <c r="J31" s="6" t="s">
        <v>36</v>
      </c>
      <c r="K31" s="4" t="s">
        <v>102</v>
      </c>
      <c r="L31" s="4" t="s">
        <v>38</v>
      </c>
      <c r="M31" s="4" t="s">
        <v>164</v>
      </c>
      <c r="N31" s="29"/>
    </row>
    <row r="32" spans="1:14" ht="49.05" customHeight="1" x14ac:dyDescent="0.25">
      <c r="A32" s="29"/>
      <c r="B32" s="4" t="s">
        <v>165</v>
      </c>
      <c r="C32" s="5" t="s">
        <v>166</v>
      </c>
      <c r="D32" s="4" t="s">
        <v>167</v>
      </c>
      <c r="E32" s="4" t="s">
        <v>135</v>
      </c>
      <c r="F32" s="4" t="s">
        <v>168</v>
      </c>
      <c r="G32" s="4" t="s">
        <v>169</v>
      </c>
      <c r="H32" s="4" t="s">
        <v>170</v>
      </c>
      <c r="I32" s="6" t="s">
        <v>35</v>
      </c>
      <c r="J32" s="6" t="s">
        <v>36</v>
      </c>
      <c r="K32" s="4" t="s">
        <v>171</v>
      </c>
      <c r="L32" s="4" t="s">
        <v>38</v>
      </c>
      <c r="M32" s="4" t="s">
        <v>172</v>
      </c>
      <c r="N32" s="29"/>
    </row>
    <row r="33" spans="1:14" ht="49.05" customHeight="1" x14ac:dyDescent="0.25">
      <c r="A33" s="29"/>
      <c r="B33" s="4" t="s">
        <v>173</v>
      </c>
      <c r="C33" s="5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4" t="s">
        <v>179</v>
      </c>
      <c r="I33" s="6" t="s">
        <v>35</v>
      </c>
      <c r="J33" s="6" t="s">
        <v>36</v>
      </c>
      <c r="K33" s="4" t="s">
        <v>180</v>
      </c>
      <c r="L33" s="4" t="s">
        <v>38</v>
      </c>
      <c r="M33" s="4" t="s">
        <v>181</v>
      </c>
      <c r="N33" s="29"/>
    </row>
    <row r="34" spans="1:14" ht="49.05" customHeight="1" x14ac:dyDescent="0.25">
      <c r="A34" s="29"/>
      <c r="B34" s="4" t="s">
        <v>182</v>
      </c>
      <c r="C34" s="5" t="s">
        <v>183</v>
      </c>
      <c r="D34" s="4" t="s">
        <v>184</v>
      </c>
      <c r="E34" s="4" t="s">
        <v>176</v>
      </c>
      <c r="F34" s="4" t="s">
        <v>185</v>
      </c>
      <c r="G34" s="4" t="s">
        <v>186</v>
      </c>
      <c r="H34" s="4" t="s">
        <v>187</v>
      </c>
      <c r="I34" s="6" t="s">
        <v>35</v>
      </c>
      <c r="J34" s="6" t="s">
        <v>36</v>
      </c>
      <c r="K34" s="4" t="s">
        <v>188</v>
      </c>
      <c r="L34" s="4" t="s">
        <v>38</v>
      </c>
      <c r="M34" s="4" t="s">
        <v>189</v>
      </c>
      <c r="N34" s="29"/>
    </row>
    <row r="35" spans="1:14" ht="49.05" customHeight="1" x14ac:dyDescent="0.25">
      <c r="A35" s="29"/>
      <c r="B35" s="4" t="s">
        <v>190</v>
      </c>
      <c r="C35" s="5" t="s">
        <v>191</v>
      </c>
      <c r="D35" s="4" t="s">
        <v>192</v>
      </c>
      <c r="E35" s="4" t="s">
        <v>176</v>
      </c>
      <c r="F35" s="4" t="s">
        <v>193</v>
      </c>
      <c r="G35" s="4" t="s">
        <v>194</v>
      </c>
      <c r="H35" s="4" t="s">
        <v>195</v>
      </c>
      <c r="I35" s="6" t="s">
        <v>35</v>
      </c>
      <c r="J35" s="6" t="s">
        <v>36</v>
      </c>
      <c r="K35" s="4" t="s">
        <v>196</v>
      </c>
      <c r="L35" s="4" t="s">
        <v>38</v>
      </c>
      <c r="M35" s="4" t="s">
        <v>197</v>
      </c>
      <c r="N35" s="29"/>
    </row>
    <row r="36" spans="1:14" ht="109.05" customHeight="1" x14ac:dyDescent="0.25">
      <c r="A36" s="29"/>
      <c r="B36" s="4" t="s">
        <v>198</v>
      </c>
      <c r="C36" s="5" t="s">
        <v>199</v>
      </c>
      <c r="D36" s="4" t="s">
        <v>200</v>
      </c>
      <c r="E36" s="4" t="s">
        <v>176</v>
      </c>
      <c r="F36" s="4" t="s">
        <v>201</v>
      </c>
      <c r="G36" s="4" t="s">
        <v>202</v>
      </c>
      <c r="H36" s="4" t="s">
        <v>203</v>
      </c>
      <c r="I36" s="6" t="s">
        <v>35</v>
      </c>
      <c r="J36" s="6" t="s">
        <v>36</v>
      </c>
      <c r="K36" s="4" t="s">
        <v>204</v>
      </c>
      <c r="L36" s="4" t="s">
        <v>38</v>
      </c>
      <c r="M36" s="4" t="s">
        <v>205</v>
      </c>
      <c r="N36" s="29"/>
    </row>
    <row r="37" spans="1:14" ht="64.05" customHeight="1" x14ac:dyDescent="0.25">
      <c r="A37" s="29"/>
      <c r="B37" s="4" t="s">
        <v>206</v>
      </c>
      <c r="C37" s="5" t="s">
        <v>207</v>
      </c>
      <c r="D37" s="4" t="s">
        <v>208</v>
      </c>
      <c r="E37" s="4" t="s">
        <v>176</v>
      </c>
      <c r="F37" s="4" t="s">
        <v>209</v>
      </c>
      <c r="G37" s="4" t="s">
        <v>33</v>
      </c>
      <c r="H37" s="4" t="s">
        <v>210</v>
      </c>
      <c r="I37" s="6" t="s">
        <v>35</v>
      </c>
      <c r="J37" s="6" t="s">
        <v>36</v>
      </c>
      <c r="K37" s="4" t="s">
        <v>211</v>
      </c>
      <c r="L37" s="4" t="s">
        <v>38</v>
      </c>
      <c r="M37" s="4" t="s">
        <v>212</v>
      </c>
      <c r="N37" s="29"/>
    </row>
    <row r="38" spans="1:14" ht="49.05" customHeight="1" x14ac:dyDescent="0.25">
      <c r="A38" s="29"/>
      <c r="B38" s="4" t="s">
        <v>213</v>
      </c>
      <c r="C38" s="5" t="s">
        <v>214</v>
      </c>
      <c r="D38" s="4" t="s">
        <v>215</v>
      </c>
      <c r="E38" s="4" t="s">
        <v>176</v>
      </c>
      <c r="F38" s="4" t="s">
        <v>216</v>
      </c>
      <c r="G38" s="4" t="s">
        <v>33</v>
      </c>
      <c r="H38" s="4" t="s">
        <v>217</v>
      </c>
      <c r="I38" s="6" t="s">
        <v>35</v>
      </c>
      <c r="J38" s="6" t="s">
        <v>36</v>
      </c>
      <c r="K38" s="4" t="s">
        <v>218</v>
      </c>
      <c r="L38" s="4" t="s">
        <v>38</v>
      </c>
      <c r="M38" s="4" t="s">
        <v>219</v>
      </c>
      <c r="N38" s="29"/>
    </row>
    <row r="39" spans="1:14" ht="34.049999999999997" customHeight="1" x14ac:dyDescent="0.25">
      <c r="A39" s="29"/>
      <c r="B39" s="4" t="s">
        <v>220</v>
      </c>
      <c r="C39" s="5" t="s">
        <v>221</v>
      </c>
      <c r="D39" s="4" t="s">
        <v>222</v>
      </c>
      <c r="E39" s="4" t="s">
        <v>223</v>
      </c>
      <c r="F39" s="4" t="s">
        <v>224</v>
      </c>
      <c r="G39" s="4" t="s">
        <v>225</v>
      </c>
      <c r="H39" s="4" t="s">
        <v>226</v>
      </c>
      <c r="I39" s="6" t="s">
        <v>35</v>
      </c>
      <c r="J39" s="6" t="s">
        <v>36</v>
      </c>
      <c r="K39" s="4" t="s">
        <v>227</v>
      </c>
      <c r="L39" s="4" t="s">
        <v>38</v>
      </c>
      <c r="M39" s="4" t="s">
        <v>228</v>
      </c>
      <c r="N39" s="29"/>
    </row>
    <row r="40" spans="1:14" ht="34.049999999999997" customHeight="1" x14ac:dyDescent="0.25">
      <c r="A40" s="29"/>
      <c r="B40" s="4" t="s">
        <v>229</v>
      </c>
      <c r="C40" s="5" t="s">
        <v>230</v>
      </c>
      <c r="D40" s="4" t="s">
        <v>231</v>
      </c>
      <c r="E40" s="4" t="s">
        <v>223</v>
      </c>
      <c r="F40" s="4" t="s">
        <v>232</v>
      </c>
      <c r="G40" s="4" t="s">
        <v>233</v>
      </c>
      <c r="H40" s="4" t="s">
        <v>234</v>
      </c>
      <c r="I40" s="6" t="s">
        <v>35</v>
      </c>
      <c r="J40" s="6" t="s">
        <v>36</v>
      </c>
      <c r="K40" s="4" t="s">
        <v>235</v>
      </c>
      <c r="L40" s="4" t="s">
        <v>38</v>
      </c>
      <c r="M40" s="4" t="s">
        <v>236</v>
      </c>
      <c r="N40" s="29"/>
    </row>
    <row r="41" spans="1:14" ht="34.049999999999997" customHeight="1" x14ac:dyDescent="0.25">
      <c r="A41" s="29"/>
      <c r="B41" s="4" t="s">
        <v>237</v>
      </c>
      <c r="C41" s="5" t="s">
        <v>238</v>
      </c>
      <c r="D41" s="4" t="s">
        <v>239</v>
      </c>
      <c r="E41" s="4" t="s">
        <v>240</v>
      </c>
      <c r="F41" s="4" t="s">
        <v>241</v>
      </c>
      <c r="G41" s="4" t="s">
        <v>33</v>
      </c>
      <c r="H41" s="4" t="s">
        <v>242</v>
      </c>
      <c r="I41" s="6" t="s">
        <v>35</v>
      </c>
      <c r="J41" s="6" t="s">
        <v>36</v>
      </c>
      <c r="K41" s="4" t="s">
        <v>243</v>
      </c>
      <c r="L41" s="4" t="s">
        <v>38</v>
      </c>
      <c r="M41" s="4" t="s">
        <v>244</v>
      </c>
      <c r="N41" s="29"/>
    </row>
    <row r="42" spans="1:14" ht="49.05" customHeight="1" x14ac:dyDescent="0.25">
      <c r="A42" s="29"/>
      <c r="B42" s="4" t="s">
        <v>245</v>
      </c>
      <c r="C42" s="5" t="s">
        <v>246</v>
      </c>
      <c r="D42" s="4" t="s">
        <v>247</v>
      </c>
      <c r="E42" s="4" t="s">
        <v>248</v>
      </c>
      <c r="F42" s="4" t="s">
        <v>249</v>
      </c>
      <c r="G42" s="4" t="s">
        <v>250</v>
      </c>
      <c r="H42" s="4" t="s">
        <v>251</v>
      </c>
      <c r="I42" s="6" t="s">
        <v>35</v>
      </c>
      <c r="J42" s="6" t="s">
        <v>36</v>
      </c>
      <c r="K42" s="4" t="s">
        <v>252</v>
      </c>
      <c r="L42" s="4" t="s">
        <v>38</v>
      </c>
      <c r="M42" s="4" t="s">
        <v>253</v>
      </c>
      <c r="N42" s="29"/>
    </row>
    <row r="43" spans="1:14" ht="109.05" customHeight="1" x14ac:dyDescent="0.25">
      <c r="A43" s="29"/>
      <c r="B43" s="4" t="s">
        <v>254</v>
      </c>
      <c r="C43" s="5" t="s">
        <v>255</v>
      </c>
      <c r="D43" s="4" t="s">
        <v>256</v>
      </c>
      <c r="E43" s="4" t="s">
        <v>257</v>
      </c>
      <c r="F43" s="4" t="s">
        <v>258</v>
      </c>
      <c r="G43" s="4" t="s">
        <v>259</v>
      </c>
      <c r="H43" s="4" t="s">
        <v>260</v>
      </c>
      <c r="I43" s="6" t="s">
        <v>35</v>
      </c>
      <c r="J43" s="6" t="s">
        <v>36</v>
      </c>
      <c r="K43" s="4" t="s">
        <v>261</v>
      </c>
      <c r="L43" s="4" t="s">
        <v>38</v>
      </c>
      <c r="M43" s="4" t="s">
        <v>262</v>
      </c>
      <c r="N43" s="29"/>
    </row>
    <row r="44" spans="1:14" ht="49.05" customHeight="1" x14ac:dyDescent="0.25">
      <c r="A44" s="29"/>
      <c r="B44" s="4" t="s">
        <v>263</v>
      </c>
      <c r="C44" s="5" t="s">
        <v>264</v>
      </c>
      <c r="D44" s="4" t="s">
        <v>265</v>
      </c>
      <c r="E44" s="4" t="s">
        <v>176</v>
      </c>
      <c r="F44" s="4" t="s">
        <v>266</v>
      </c>
      <c r="G44" s="4" t="s">
        <v>33</v>
      </c>
      <c r="H44" s="4" t="s">
        <v>267</v>
      </c>
      <c r="I44" s="6" t="s">
        <v>35</v>
      </c>
      <c r="J44" s="6" t="s">
        <v>36</v>
      </c>
      <c r="K44" s="4" t="s">
        <v>268</v>
      </c>
      <c r="L44" s="4" t="s">
        <v>38</v>
      </c>
      <c r="M44" s="4" t="s">
        <v>269</v>
      </c>
      <c r="N44" s="29"/>
    </row>
    <row r="45" spans="1:14" ht="34.049999999999997" customHeight="1" x14ac:dyDescent="0.25">
      <c r="A45" s="29"/>
      <c r="B45" s="4" t="s">
        <v>270</v>
      </c>
      <c r="C45" s="5" t="s">
        <v>271</v>
      </c>
      <c r="D45" s="4" t="s">
        <v>272</v>
      </c>
      <c r="E45" s="4" t="s">
        <v>176</v>
      </c>
      <c r="F45" s="4" t="s">
        <v>273</v>
      </c>
      <c r="G45" s="4" t="s">
        <v>33</v>
      </c>
      <c r="H45" s="4" t="s">
        <v>274</v>
      </c>
      <c r="I45" s="6" t="s">
        <v>35</v>
      </c>
      <c r="J45" s="6" t="s">
        <v>36</v>
      </c>
      <c r="K45" s="4" t="s">
        <v>275</v>
      </c>
      <c r="L45" s="4" t="s">
        <v>38</v>
      </c>
      <c r="M45" s="4" t="s">
        <v>276</v>
      </c>
      <c r="N45" s="29"/>
    </row>
    <row r="46" spans="1:14" ht="49.05" customHeight="1" x14ac:dyDescent="0.25">
      <c r="A46" s="29"/>
      <c r="B46" s="4" t="s">
        <v>277</v>
      </c>
      <c r="C46" s="5" t="s">
        <v>278</v>
      </c>
      <c r="D46" s="4" t="s">
        <v>279</v>
      </c>
      <c r="E46" s="4" t="s">
        <v>280</v>
      </c>
      <c r="F46" s="4" t="s">
        <v>281</v>
      </c>
      <c r="G46" s="4" t="s">
        <v>282</v>
      </c>
      <c r="H46" s="4" t="s">
        <v>283</v>
      </c>
      <c r="I46" s="6" t="s">
        <v>35</v>
      </c>
      <c r="J46" s="6" t="s">
        <v>36</v>
      </c>
      <c r="K46" s="4" t="s">
        <v>284</v>
      </c>
      <c r="L46" s="4" t="s">
        <v>38</v>
      </c>
      <c r="M46" s="4" t="s">
        <v>285</v>
      </c>
      <c r="N46" s="29"/>
    </row>
    <row r="47" spans="1:14" ht="64.05" customHeight="1" x14ac:dyDescent="0.25">
      <c r="A47" s="29"/>
      <c r="B47" s="4" t="s">
        <v>286</v>
      </c>
      <c r="C47" s="5" t="s">
        <v>287</v>
      </c>
      <c r="D47" s="4" t="s">
        <v>288</v>
      </c>
      <c r="E47" s="4" t="s">
        <v>289</v>
      </c>
      <c r="F47" s="4" t="s">
        <v>290</v>
      </c>
      <c r="G47" s="4" t="s">
        <v>33</v>
      </c>
      <c r="H47" s="4" t="s">
        <v>291</v>
      </c>
      <c r="I47" s="6" t="s">
        <v>35</v>
      </c>
      <c r="J47" s="6" t="s">
        <v>36</v>
      </c>
      <c r="K47" s="4" t="s">
        <v>292</v>
      </c>
      <c r="L47" s="4" t="s">
        <v>38</v>
      </c>
      <c r="M47" s="4" t="s">
        <v>293</v>
      </c>
      <c r="N47" s="29"/>
    </row>
    <row r="48" spans="1:14" ht="49.05" customHeight="1" x14ac:dyDescent="0.25">
      <c r="A48" s="29"/>
      <c r="B48" s="4" t="s">
        <v>294</v>
      </c>
      <c r="C48" s="5" t="s">
        <v>295</v>
      </c>
      <c r="D48" s="4" t="s">
        <v>296</v>
      </c>
      <c r="E48" s="4" t="s">
        <v>297</v>
      </c>
      <c r="F48" s="4" t="s">
        <v>298</v>
      </c>
      <c r="G48" s="4" t="s">
        <v>33</v>
      </c>
      <c r="H48" s="4" t="s">
        <v>299</v>
      </c>
      <c r="I48" s="6" t="s">
        <v>35</v>
      </c>
      <c r="J48" s="6" t="s">
        <v>36</v>
      </c>
      <c r="K48" s="4" t="s">
        <v>300</v>
      </c>
      <c r="L48" s="4" t="s">
        <v>38</v>
      </c>
      <c r="M48" s="4" t="s">
        <v>301</v>
      </c>
      <c r="N48" s="29"/>
    </row>
    <row r="49" spans="1:14" ht="49.05" customHeight="1" x14ac:dyDescent="0.25">
      <c r="A49" s="29"/>
      <c r="B49" s="4" t="s">
        <v>302</v>
      </c>
      <c r="C49" s="5" t="s">
        <v>303</v>
      </c>
      <c r="D49" s="4" t="s">
        <v>304</v>
      </c>
      <c r="E49" s="4" t="s">
        <v>305</v>
      </c>
      <c r="F49" s="4" t="s">
        <v>306</v>
      </c>
      <c r="G49" s="4" t="s">
        <v>33</v>
      </c>
      <c r="H49" s="4" t="s">
        <v>307</v>
      </c>
      <c r="I49" s="6" t="s">
        <v>35</v>
      </c>
      <c r="J49" s="6" t="s">
        <v>36</v>
      </c>
      <c r="K49" s="4" t="s">
        <v>308</v>
      </c>
      <c r="L49" s="4" t="s">
        <v>38</v>
      </c>
      <c r="M49" s="4" t="s">
        <v>309</v>
      </c>
      <c r="N49" s="29"/>
    </row>
    <row r="50" spans="1:14" ht="34.049999999999997" customHeight="1" x14ac:dyDescent="0.25">
      <c r="A50" s="29"/>
      <c r="B50" s="4" t="s">
        <v>310</v>
      </c>
      <c r="C50" s="5" t="s">
        <v>311</v>
      </c>
      <c r="D50" s="4" t="s">
        <v>312</v>
      </c>
      <c r="E50" s="4" t="s">
        <v>313</v>
      </c>
      <c r="F50" s="4" t="s">
        <v>314</v>
      </c>
      <c r="G50" s="4" t="s">
        <v>33</v>
      </c>
      <c r="H50" s="4" t="s">
        <v>315</v>
      </c>
      <c r="I50" s="6" t="s">
        <v>35</v>
      </c>
      <c r="J50" s="6" t="s">
        <v>36</v>
      </c>
      <c r="K50" s="4" t="s">
        <v>252</v>
      </c>
      <c r="L50" s="4" t="s">
        <v>38</v>
      </c>
      <c r="M50" s="4" t="s">
        <v>316</v>
      </c>
      <c r="N50" s="29"/>
    </row>
    <row r="51" spans="1:14" ht="49.05" customHeight="1" x14ac:dyDescent="0.25">
      <c r="A51" s="29"/>
      <c r="B51" s="4" t="s">
        <v>317</v>
      </c>
      <c r="C51" s="5" t="s">
        <v>318</v>
      </c>
      <c r="D51" s="4" t="s">
        <v>319</v>
      </c>
      <c r="E51" s="4" t="s">
        <v>320</v>
      </c>
      <c r="F51" s="4" t="s">
        <v>321</v>
      </c>
      <c r="G51" s="4" t="s">
        <v>33</v>
      </c>
      <c r="H51" s="4" t="s">
        <v>322</v>
      </c>
      <c r="I51" s="6" t="s">
        <v>35</v>
      </c>
      <c r="J51" s="6" t="s">
        <v>36</v>
      </c>
      <c r="K51" s="4" t="s">
        <v>323</v>
      </c>
      <c r="L51" s="4" t="s">
        <v>38</v>
      </c>
      <c r="M51" s="4" t="s">
        <v>324</v>
      </c>
      <c r="N51" s="29"/>
    </row>
    <row r="52" spans="1:14" ht="34.049999999999997" customHeight="1" x14ac:dyDescent="0.25">
      <c r="A52" s="29"/>
      <c r="B52" s="4" t="s">
        <v>325</v>
      </c>
      <c r="C52" s="5" t="s">
        <v>326</v>
      </c>
      <c r="D52" s="4" t="s">
        <v>327</v>
      </c>
      <c r="E52" s="4" t="s">
        <v>328</v>
      </c>
      <c r="F52" s="4" t="s">
        <v>329</v>
      </c>
      <c r="G52" s="4" t="s">
        <v>33</v>
      </c>
      <c r="H52" s="4" t="s">
        <v>330</v>
      </c>
      <c r="I52" s="6" t="s">
        <v>35</v>
      </c>
      <c r="J52" s="6" t="s">
        <v>36</v>
      </c>
      <c r="K52" s="4" t="s">
        <v>331</v>
      </c>
      <c r="L52" s="4" t="s">
        <v>38</v>
      </c>
      <c r="M52" s="4" t="s">
        <v>332</v>
      </c>
      <c r="N52" s="29"/>
    </row>
    <row r="53" spans="1:14" ht="49.05" customHeight="1" x14ac:dyDescent="0.25">
      <c r="A53" s="29"/>
      <c r="B53" s="4" t="s">
        <v>333</v>
      </c>
      <c r="C53" s="5" t="s">
        <v>334</v>
      </c>
      <c r="D53" s="4" t="s">
        <v>335</v>
      </c>
      <c r="E53" s="4" t="s">
        <v>336</v>
      </c>
      <c r="F53" s="4" t="s">
        <v>337</v>
      </c>
      <c r="G53" s="4" t="s">
        <v>33</v>
      </c>
      <c r="H53" s="4" t="s">
        <v>338</v>
      </c>
      <c r="I53" s="6" t="s">
        <v>35</v>
      </c>
      <c r="J53" s="6" t="s">
        <v>36</v>
      </c>
      <c r="K53" s="4" t="s">
        <v>339</v>
      </c>
      <c r="L53" s="4" t="s">
        <v>38</v>
      </c>
      <c r="M53" s="4" t="s">
        <v>340</v>
      </c>
      <c r="N53" s="29"/>
    </row>
    <row r="54" spans="1:14" ht="79.05" customHeight="1" x14ac:dyDescent="0.25">
      <c r="A54" s="29"/>
      <c r="B54" s="4" t="s">
        <v>341</v>
      </c>
      <c r="C54" s="5" t="s">
        <v>342</v>
      </c>
      <c r="D54" s="4" t="s">
        <v>343</v>
      </c>
      <c r="E54" s="4" t="s">
        <v>344</v>
      </c>
      <c r="F54" s="4" t="s">
        <v>345</v>
      </c>
      <c r="G54" s="4" t="s">
        <v>346</v>
      </c>
      <c r="H54" s="4" t="s">
        <v>347</v>
      </c>
      <c r="I54" s="6" t="s">
        <v>35</v>
      </c>
      <c r="J54" s="6" t="s">
        <v>36</v>
      </c>
      <c r="K54" s="4" t="s">
        <v>348</v>
      </c>
      <c r="L54" s="4" t="s">
        <v>38</v>
      </c>
      <c r="M54" s="4" t="s">
        <v>349</v>
      </c>
      <c r="N54" s="29"/>
    </row>
    <row r="55" spans="1:14" ht="49.05" customHeight="1" x14ac:dyDescent="0.25">
      <c r="A55" s="29"/>
      <c r="B55" s="4" t="s">
        <v>350</v>
      </c>
      <c r="C55" s="5" t="s">
        <v>351</v>
      </c>
      <c r="D55" s="4" t="s">
        <v>352</v>
      </c>
      <c r="E55" s="4" t="s">
        <v>176</v>
      </c>
      <c r="F55" s="4" t="s">
        <v>353</v>
      </c>
      <c r="G55" s="4" t="s">
        <v>33</v>
      </c>
      <c r="H55" s="4" t="s">
        <v>354</v>
      </c>
      <c r="I55" s="6" t="s">
        <v>35</v>
      </c>
      <c r="J55" s="6" t="s">
        <v>36</v>
      </c>
      <c r="K55" s="4" t="s">
        <v>355</v>
      </c>
      <c r="L55" s="4" t="s">
        <v>38</v>
      </c>
      <c r="M55" s="4" t="s">
        <v>356</v>
      </c>
      <c r="N55" s="29"/>
    </row>
    <row r="56" spans="1:14" ht="49.05" customHeight="1" x14ac:dyDescent="0.25">
      <c r="A56" s="29"/>
      <c r="B56" s="4" t="s">
        <v>357</v>
      </c>
      <c r="C56" s="5" t="s">
        <v>358</v>
      </c>
      <c r="D56" s="4" t="s">
        <v>359</v>
      </c>
      <c r="E56" s="4" t="s">
        <v>176</v>
      </c>
      <c r="F56" s="4" t="s">
        <v>360</v>
      </c>
      <c r="G56" s="4" t="s">
        <v>33</v>
      </c>
      <c r="H56" s="4" t="s">
        <v>361</v>
      </c>
      <c r="I56" s="6" t="s">
        <v>35</v>
      </c>
      <c r="J56" s="6" t="s">
        <v>36</v>
      </c>
      <c r="K56" s="4" t="s">
        <v>355</v>
      </c>
      <c r="L56" s="4" t="s">
        <v>38</v>
      </c>
      <c r="M56" s="4" t="s">
        <v>362</v>
      </c>
      <c r="N56" s="29"/>
    </row>
    <row r="57" spans="1:14" ht="49.05" customHeight="1" x14ac:dyDescent="0.25">
      <c r="A57" s="29"/>
      <c r="B57" s="4" t="s">
        <v>363</v>
      </c>
      <c r="C57" s="5" t="s">
        <v>364</v>
      </c>
      <c r="D57" s="4" t="s">
        <v>365</v>
      </c>
      <c r="E57" s="4" t="s">
        <v>176</v>
      </c>
      <c r="F57" s="4" t="s">
        <v>193</v>
      </c>
      <c r="G57" s="4" t="s">
        <v>33</v>
      </c>
      <c r="H57" s="4" t="s">
        <v>366</v>
      </c>
      <c r="I57" s="6" t="s">
        <v>35</v>
      </c>
      <c r="J57" s="6" t="s">
        <v>36</v>
      </c>
      <c r="K57" s="4" t="s">
        <v>367</v>
      </c>
      <c r="L57" s="4" t="s">
        <v>38</v>
      </c>
      <c r="M57" s="4" t="s">
        <v>368</v>
      </c>
      <c r="N57" s="29"/>
    </row>
    <row r="58" spans="1:14" ht="79.05" customHeight="1" x14ac:dyDescent="0.25">
      <c r="A58" s="29"/>
      <c r="B58" s="4" t="s">
        <v>369</v>
      </c>
      <c r="C58" s="5" t="s">
        <v>370</v>
      </c>
      <c r="D58" s="4" t="s">
        <v>371</v>
      </c>
      <c r="E58" s="4" t="s">
        <v>176</v>
      </c>
      <c r="F58" s="4" t="s">
        <v>372</v>
      </c>
      <c r="G58" s="4" t="s">
        <v>33</v>
      </c>
      <c r="H58" s="4" t="s">
        <v>373</v>
      </c>
      <c r="I58" s="6" t="s">
        <v>35</v>
      </c>
      <c r="J58" s="6" t="s">
        <v>36</v>
      </c>
      <c r="K58" s="4" t="s">
        <v>300</v>
      </c>
      <c r="L58" s="4" t="s">
        <v>38</v>
      </c>
      <c r="M58" s="4" t="s">
        <v>374</v>
      </c>
      <c r="N58" s="29"/>
    </row>
    <row r="59" spans="1:14" ht="79.05" customHeight="1" x14ac:dyDescent="0.25">
      <c r="A59" s="29"/>
      <c r="B59" s="4" t="s">
        <v>375</v>
      </c>
      <c r="C59" s="5" t="s">
        <v>376</v>
      </c>
      <c r="D59" s="4" t="s">
        <v>377</v>
      </c>
      <c r="E59" s="4" t="s">
        <v>93</v>
      </c>
      <c r="F59" s="4" t="s">
        <v>378</v>
      </c>
      <c r="G59" s="4" t="s">
        <v>33</v>
      </c>
      <c r="H59" s="4" t="s">
        <v>379</v>
      </c>
      <c r="I59" s="6" t="s">
        <v>35</v>
      </c>
      <c r="J59" s="6" t="s">
        <v>36</v>
      </c>
      <c r="K59" s="4" t="s">
        <v>380</v>
      </c>
      <c r="L59" s="4" t="s">
        <v>38</v>
      </c>
      <c r="M59" s="4" t="s">
        <v>381</v>
      </c>
      <c r="N59" s="29"/>
    </row>
    <row r="60" spans="1:14" ht="34.049999999999997" customHeight="1" x14ac:dyDescent="0.25">
      <c r="A60" s="29"/>
      <c r="B60" s="4" t="s">
        <v>382</v>
      </c>
      <c r="C60" s="5" t="s">
        <v>383</v>
      </c>
      <c r="D60" s="4" t="s">
        <v>384</v>
      </c>
      <c r="E60" s="4" t="s">
        <v>385</v>
      </c>
      <c r="F60" s="4" t="s">
        <v>386</v>
      </c>
      <c r="G60" s="4" t="s">
        <v>33</v>
      </c>
      <c r="H60" s="4" t="s">
        <v>387</v>
      </c>
      <c r="I60" s="6" t="s">
        <v>35</v>
      </c>
      <c r="J60" s="6" t="s">
        <v>36</v>
      </c>
      <c r="K60" s="4" t="s">
        <v>388</v>
      </c>
      <c r="L60" s="4" t="s">
        <v>38</v>
      </c>
      <c r="M60" s="4" t="s">
        <v>389</v>
      </c>
      <c r="N60" s="29"/>
    </row>
    <row r="61" spans="1:14" ht="49.05" customHeight="1" x14ac:dyDescent="0.25">
      <c r="A61" s="29"/>
      <c r="B61" s="4" t="s">
        <v>390</v>
      </c>
      <c r="C61" s="5" t="s">
        <v>391</v>
      </c>
      <c r="D61" s="4" t="s">
        <v>392</v>
      </c>
      <c r="E61" s="4" t="s">
        <v>393</v>
      </c>
      <c r="F61" s="4" t="s">
        <v>394</v>
      </c>
      <c r="G61" s="4" t="s">
        <v>33</v>
      </c>
      <c r="H61" s="4" t="s">
        <v>395</v>
      </c>
      <c r="I61" s="6" t="s">
        <v>35</v>
      </c>
      <c r="J61" s="6" t="s">
        <v>36</v>
      </c>
      <c r="K61" s="4" t="s">
        <v>396</v>
      </c>
      <c r="L61" s="4" t="s">
        <v>38</v>
      </c>
      <c r="M61" s="4" t="s">
        <v>397</v>
      </c>
      <c r="N61" s="29"/>
    </row>
    <row r="62" spans="1:14" ht="79.05" customHeight="1" x14ac:dyDescent="0.25">
      <c r="A62" s="29"/>
      <c r="B62" s="4" t="s">
        <v>398</v>
      </c>
      <c r="C62" s="5" t="s">
        <v>399</v>
      </c>
      <c r="D62" s="4" t="s">
        <v>400</v>
      </c>
      <c r="E62" s="4" t="s">
        <v>401</v>
      </c>
      <c r="F62" s="4" t="s">
        <v>402</v>
      </c>
      <c r="G62" s="4" t="s">
        <v>33</v>
      </c>
      <c r="H62" s="4" t="s">
        <v>403</v>
      </c>
      <c r="I62" s="6" t="s">
        <v>35</v>
      </c>
      <c r="J62" s="6" t="s">
        <v>36</v>
      </c>
      <c r="K62" s="4" t="s">
        <v>404</v>
      </c>
      <c r="L62" s="4" t="s">
        <v>405</v>
      </c>
      <c r="M62" s="4" t="s">
        <v>406</v>
      </c>
      <c r="N62" s="29"/>
    </row>
    <row r="63" spans="1:14" ht="49.05" customHeight="1" x14ac:dyDescent="0.25">
      <c r="A63" s="29"/>
      <c r="B63" s="4" t="s">
        <v>407</v>
      </c>
      <c r="C63" s="5" t="s">
        <v>408</v>
      </c>
      <c r="D63" s="4" t="s">
        <v>409</v>
      </c>
      <c r="E63" s="4" t="s">
        <v>410</v>
      </c>
      <c r="F63" s="4" t="s">
        <v>411</v>
      </c>
      <c r="G63" s="4" t="s">
        <v>412</v>
      </c>
      <c r="H63" s="4" t="s">
        <v>413</v>
      </c>
      <c r="I63" s="6" t="s">
        <v>35</v>
      </c>
      <c r="J63" s="6" t="s">
        <v>36</v>
      </c>
      <c r="K63" s="4" t="s">
        <v>414</v>
      </c>
      <c r="L63" s="4" t="s">
        <v>38</v>
      </c>
      <c r="M63" s="4" t="s">
        <v>415</v>
      </c>
      <c r="N63" s="29"/>
    </row>
    <row r="64" spans="1:14" ht="79.05" customHeight="1" x14ac:dyDescent="0.25">
      <c r="A64" s="29"/>
      <c r="B64" s="4" t="s">
        <v>416</v>
      </c>
      <c r="C64" s="5" t="s">
        <v>417</v>
      </c>
      <c r="D64" s="4" t="s">
        <v>418</v>
      </c>
      <c r="E64" s="4" t="s">
        <v>419</v>
      </c>
      <c r="F64" s="4" t="s">
        <v>420</v>
      </c>
      <c r="G64" s="4" t="s">
        <v>33</v>
      </c>
      <c r="H64" s="4" t="s">
        <v>421</v>
      </c>
      <c r="I64" s="6" t="s">
        <v>35</v>
      </c>
      <c r="J64" s="6" t="s">
        <v>36</v>
      </c>
      <c r="K64" s="4" t="s">
        <v>422</v>
      </c>
      <c r="L64" s="4" t="s">
        <v>38</v>
      </c>
      <c r="M64" s="4" t="s">
        <v>423</v>
      </c>
      <c r="N64" s="29"/>
    </row>
    <row r="65" spans="1:14" ht="49.05" customHeight="1" x14ac:dyDescent="0.25">
      <c r="A65" s="29"/>
      <c r="B65" s="4" t="s">
        <v>424</v>
      </c>
      <c r="C65" s="5" t="s">
        <v>425</v>
      </c>
      <c r="D65" s="4" t="s">
        <v>426</v>
      </c>
      <c r="E65" s="4" t="s">
        <v>427</v>
      </c>
      <c r="F65" s="4" t="s">
        <v>428</v>
      </c>
      <c r="G65" s="4" t="s">
        <v>33</v>
      </c>
      <c r="H65" s="4" t="s">
        <v>429</v>
      </c>
      <c r="I65" s="6" t="s">
        <v>35</v>
      </c>
      <c r="J65" s="6" t="s">
        <v>36</v>
      </c>
      <c r="K65" s="4" t="s">
        <v>430</v>
      </c>
      <c r="L65" s="4" t="s">
        <v>38</v>
      </c>
      <c r="M65" s="4" t="s">
        <v>431</v>
      </c>
      <c r="N65" s="29"/>
    </row>
    <row r="66" spans="1:14" ht="49.05" customHeight="1" x14ac:dyDescent="0.25">
      <c r="A66" s="29"/>
      <c r="B66" s="4" t="s">
        <v>432</v>
      </c>
      <c r="C66" s="5" t="s">
        <v>433</v>
      </c>
      <c r="D66" s="4" t="s">
        <v>434</v>
      </c>
      <c r="E66" s="4" t="s">
        <v>435</v>
      </c>
      <c r="F66" s="4" t="s">
        <v>436</v>
      </c>
      <c r="G66" s="4" t="s">
        <v>33</v>
      </c>
      <c r="H66" s="4" t="s">
        <v>437</v>
      </c>
      <c r="I66" s="6" t="s">
        <v>35</v>
      </c>
      <c r="J66" s="6" t="s">
        <v>36</v>
      </c>
      <c r="K66" s="4" t="s">
        <v>438</v>
      </c>
      <c r="L66" s="4" t="s">
        <v>38</v>
      </c>
      <c r="M66" s="4" t="s">
        <v>439</v>
      </c>
      <c r="N66" s="29"/>
    </row>
    <row r="67" spans="1:14" ht="34.049999999999997" customHeight="1" x14ac:dyDescent="0.25">
      <c r="A67" s="29"/>
      <c r="B67" s="4" t="s">
        <v>440</v>
      </c>
      <c r="C67" s="5" t="s">
        <v>441</v>
      </c>
      <c r="D67" s="4" t="s">
        <v>442</v>
      </c>
      <c r="E67" s="4" t="s">
        <v>443</v>
      </c>
      <c r="F67" s="4" t="s">
        <v>444</v>
      </c>
      <c r="G67" s="4" t="s">
        <v>33</v>
      </c>
      <c r="H67" s="4" t="s">
        <v>445</v>
      </c>
      <c r="I67" s="6" t="s">
        <v>35</v>
      </c>
      <c r="J67" s="6" t="s">
        <v>36</v>
      </c>
      <c r="K67" s="4" t="s">
        <v>446</v>
      </c>
      <c r="L67" s="4" t="s">
        <v>38</v>
      </c>
      <c r="M67" s="4" t="s">
        <v>447</v>
      </c>
      <c r="N67" s="29"/>
    </row>
    <row r="68" spans="1:14" ht="34.049999999999997" customHeight="1" x14ac:dyDescent="0.25">
      <c r="A68" s="29"/>
      <c r="B68" s="4" t="s">
        <v>448</v>
      </c>
      <c r="C68" s="5" t="s">
        <v>449</v>
      </c>
      <c r="D68" s="4" t="s">
        <v>450</v>
      </c>
      <c r="E68" s="4" t="s">
        <v>451</v>
      </c>
      <c r="F68" s="4" t="s">
        <v>452</v>
      </c>
      <c r="G68" s="4" t="s">
        <v>33</v>
      </c>
      <c r="H68" s="4" t="s">
        <v>453</v>
      </c>
      <c r="I68" s="6" t="s">
        <v>35</v>
      </c>
      <c r="J68" s="6" t="s">
        <v>36</v>
      </c>
      <c r="K68" s="4" t="s">
        <v>139</v>
      </c>
      <c r="L68" s="4" t="s">
        <v>38</v>
      </c>
      <c r="M68" s="4" t="s">
        <v>454</v>
      </c>
      <c r="N68" s="29"/>
    </row>
    <row r="69" spans="1:14" ht="34.049999999999997" customHeight="1" x14ac:dyDescent="0.25">
      <c r="A69" s="29"/>
      <c r="B69" s="4" t="s">
        <v>455</v>
      </c>
      <c r="C69" s="5" t="s">
        <v>456</v>
      </c>
      <c r="D69" s="4" t="s">
        <v>457</v>
      </c>
      <c r="E69" s="4" t="s">
        <v>458</v>
      </c>
      <c r="F69" s="4" t="s">
        <v>459</v>
      </c>
      <c r="G69" s="4" t="s">
        <v>33</v>
      </c>
      <c r="H69" s="4" t="s">
        <v>460</v>
      </c>
      <c r="I69" s="6" t="s">
        <v>35</v>
      </c>
      <c r="J69" s="6" t="s">
        <v>36</v>
      </c>
      <c r="K69" s="4" t="s">
        <v>300</v>
      </c>
      <c r="L69" s="4" t="s">
        <v>38</v>
      </c>
      <c r="M69" s="4" t="s">
        <v>461</v>
      </c>
      <c r="N69" s="29"/>
    </row>
    <row r="70" spans="1:14" ht="49.05" customHeight="1" x14ac:dyDescent="0.25">
      <c r="A70" s="29"/>
      <c r="B70" s="4" t="s">
        <v>462</v>
      </c>
      <c r="C70" s="5" t="s">
        <v>463</v>
      </c>
      <c r="D70" s="4" t="s">
        <v>464</v>
      </c>
      <c r="E70" s="4" t="s">
        <v>465</v>
      </c>
      <c r="F70" s="4" t="s">
        <v>466</v>
      </c>
      <c r="G70" s="4" t="s">
        <v>33</v>
      </c>
      <c r="H70" s="4" t="s">
        <v>467</v>
      </c>
      <c r="I70" s="6" t="s">
        <v>35</v>
      </c>
      <c r="J70" s="6" t="s">
        <v>36</v>
      </c>
      <c r="K70" s="4" t="s">
        <v>468</v>
      </c>
      <c r="L70" s="4" t="s">
        <v>38</v>
      </c>
      <c r="M70" s="4" t="s">
        <v>469</v>
      </c>
      <c r="N70" s="29"/>
    </row>
    <row r="71" spans="1:14" ht="64.05" customHeight="1" x14ac:dyDescent="0.25">
      <c r="A71" s="29"/>
      <c r="B71" s="4" t="s">
        <v>470</v>
      </c>
      <c r="C71" s="5" t="s">
        <v>471</v>
      </c>
      <c r="D71" s="4" t="s">
        <v>472</v>
      </c>
      <c r="E71" s="4" t="s">
        <v>401</v>
      </c>
      <c r="F71" s="4" t="s">
        <v>473</v>
      </c>
      <c r="G71" s="4" t="s">
        <v>33</v>
      </c>
      <c r="H71" s="4" t="s">
        <v>474</v>
      </c>
      <c r="I71" s="6" t="s">
        <v>35</v>
      </c>
      <c r="J71" s="6" t="s">
        <v>36</v>
      </c>
      <c r="K71" s="4" t="s">
        <v>300</v>
      </c>
      <c r="L71" s="4" t="s">
        <v>405</v>
      </c>
      <c r="M71" s="4" t="s">
        <v>475</v>
      </c>
      <c r="N71" s="29"/>
    </row>
    <row r="72" spans="1:14" ht="64.05" customHeight="1" x14ac:dyDescent="0.25">
      <c r="A72" s="29"/>
      <c r="B72" s="4" t="s">
        <v>476</v>
      </c>
      <c r="C72" s="5" t="s">
        <v>477</v>
      </c>
      <c r="D72" s="4" t="s">
        <v>478</v>
      </c>
      <c r="E72" s="4" t="s">
        <v>401</v>
      </c>
      <c r="F72" s="4" t="s">
        <v>479</v>
      </c>
      <c r="G72" s="4" t="s">
        <v>480</v>
      </c>
      <c r="H72" s="4" t="s">
        <v>481</v>
      </c>
      <c r="I72" s="6" t="s">
        <v>35</v>
      </c>
      <c r="J72" s="6" t="s">
        <v>36</v>
      </c>
      <c r="K72" s="4" t="s">
        <v>300</v>
      </c>
      <c r="L72" s="4" t="s">
        <v>405</v>
      </c>
      <c r="M72" s="4" t="s">
        <v>482</v>
      </c>
      <c r="N72" s="29"/>
    </row>
    <row r="73" spans="1:14" ht="34.049999999999997" customHeight="1" x14ac:dyDescent="0.25">
      <c r="A73" s="29"/>
      <c r="B73" s="4" t="s">
        <v>483</v>
      </c>
      <c r="C73" s="5" t="s">
        <v>484</v>
      </c>
      <c r="D73" s="4" t="s">
        <v>485</v>
      </c>
      <c r="E73" s="4" t="s">
        <v>410</v>
      </c>
      <c r="F73" s="4" t="s">
        <v>486</v>
      </c>
      <c r="G73" s="4" t="s">
        <v>33</v>
      </c>
      <c r="H73" s="4" t="s">
        <v>487</v>
      </c>
      <c r="I73" s="6"/>
      <c r="J73" s="6" t="s">
        <v>488</v>
      </c>
      <c r="K73" s="4" t="s">
        <v>33</v>
      </c>
      <c r="L73" s="4" t="s">
        <v>489</v>
      </c>
      <c r="M73" s="4" t="s">
        <v>490</v>
      </c>
      <c r="N73" s="29"/>
    </row>
    <row r="74" spans="1:14" ht="19.05" customHeight="1" x14ac:dyDescent="0.25">
      <c r="A74" s="29"/>
      <c r="B74" s="4" t="s">
        <v>491</v>
      </c>
      <c r="C74" s="5" t="s">
        <v>492</v>
      </c>
      <c r="D74" s="4" t="s">
        <v>493</v>
      </c>
      <c r="E74" s="4" t="s">
        <v>494</v>
      </c>
      <c r="F74" s="4" t="s">
        <v>495</v>
      </c>
      <c r="G74" s="4" t="s">
        <v>33</v>
      </c>
      <c r="H74" s="4" t="s">
        <v>496</v>
      </c>
      <c r="I74" s="6"/>
      <c r="J74" s="6" t="s">
        <v>497</v>
      </c>
      <c r="K74" s="4" t="s">
        <v>33</v>
      </c>
      <c r="L74" s="4" t="s">
        <v>489</v>
      </c>
      <c r="M74" s="4" t="s">
        <v>498</v>
      </c>
      <c r="N74" s="29"/>
    </row>
    <row r="75" spans="1:14" ht="34.049999999999997" customHeight="1" x14ac:dyDescent="0.25">
      <c r="A75" s="29"/>
      <c r="B75" s="4" t="s">
        <v>499</v>
      </c>
      <c r="C75" s="5" t="s">
        <v>500</v>
      </c>
      <c r="D75" s="4" t="s">
        <v>501</v>
      </c>
      <c r="E75" s="4" t="s">
        <v>502</v>
      </c>
      <c r="F75" s="4" t="s">
        <v>503</v>
      </c>
      <c r="G75" s="4" t="s">
        <v>33</v>
      </c>
      <c r="H75" s="4" t="s">
        <v>504</v>
      </c>
      <c r="I75" s="6"/>
      <c r="J75" s="6" t="s">
        <v>497</v>
      </c>
      <c r="K75" s="4" t="s">
        <v>33</v>
      </c>
      <c r="L75" s="4" t="s">
        <v>489</v>
      </c>
      <c r="M75" s="4" t="s">
        <v>505</v>
      </c>
      <c r="N75" s="29"/>
    </row>
    <row r="76" spans="1:14" ht="34.049999999999997" customHeight="1" x14ac:dyDescent="0.25">
      <c r="A76" s="29"/>
      <c r="B76" s="4" t="s">
        <v>506</v>
      </c>
      <c r="C76" s="5" t="s">
        <v>507</v>
      </c>
      <c r="D76" s="4" t="s">
        <v>508</v>
      </c>
      <c r="E76" s="4" t="s">
        <v>509</v>
      </c>
      <c r="F76" s="4" t="s">
        <v>510</v>
      </c>
      <c r="G76" s="4" t="s">
        <v>33</v>
      </c>
      <c r="H76" s="4" t="s">
        <v>511</v>
      </c>
      <c r="I76" s="6"/>
      <c r="J76" s="6" t="s">
        <v>497</v>
      </c>
      <c r="K76" s="4" t="s">
        <v>33</v>
      </c>
      <c r="L76" s="4" t="s">
        <v>489</v>
      </c>
      <c r="M76" s="4" t="s">
        <v>512</v>
      </c>
      <c r="N76" s="29"/>
    </row>
    <row r="77" spans="1:14" ht="13.2" x14ac:dyDescent="0.25">
      <c r="A77" s="29"/>
      <c r="N77" s="29"/>
    </row>
    <row r="78" spans="1:14" ht="13.2" x14ac:dyDescent="0.25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</row>
  </sheetData>
  <mergeCells count="23">
    <mergeCell ref="D13:E13"/>
    <mergeCell ref="A78:N78"/>
    <mergeCell ref="B14:F14"/>
    <mergeCell ref="B8:C8"/>
    <mergeCell ref="N1:N77"/>
    <mergeCell ref="B13:C13"/>
    <mergeCell ref="D7:E7"/>
    <mergeCell ref="B2:M5"/>
    <mergeCell ref="B10:C10"/>
    <mergeCell ref="B9:C9"/>
    <mergeCell ref="D9:E9"/>
    <mergeCell ref="D12:E12"/>
    <mergeCell ref="D8:E8"/>
    <mergeCell ref="B6:C6"/>
    <mergeCell ref="A1:A77"/>
    <mergeCell ref="F6:M13"/>
    <mergeCell ref="D10:E10"/>
    <mergeCell ref="B7:C7"/>
    <mergeCell ref="B1:M1"/>
    <mergeCell ref="B12:C12"/>
    <mergeCell ref="D6:E6"/>
    <mergeCell ref="B11:C11"/>
    <mergeCell ref="D11:E11"/>
  </mergeCells>
  <conditionalFormatting sqref="J16:J96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"Not Executed"</formula>
    </cfRule>
  </conditionalFormatting>
  <dataValidations count="3">
    <dataValidation type="list" allowBlank="1" sqref="I16:I96" xr:uid="{00000000-0002-0000-0000-000000000000}">
      <formula1>"As expected,Error shown,Page crashed"</formula1>
    </dataValidation>
    <dataValidation type="list" sqref="J16:J96" xr:uid="{00000000-0002-0000-0000-000001000000}">
      <formula1>"Pass,Fail,Blocked,Not Executed"</formula1>
    </dataValidation>
    <dataValidation type="list" allowBlank="1" sqref="L16:L96" xr:uid="{00000000-0002-0000-0000-000002000000}">
      <formula1>"Godot 4.7.1 / Windows 11 (sin ventana),Godot 4.7.1 / Windows 11 (ventana, RTX 2050),No aplica"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4"/>
  <sheetViews>
    <sheetView showGridLines="0" workbookViewId="0"/>
  </sheetViews>
  <sheetFormatPr defaultRowHeight="13.2" x14ac:dyDescent="0.25"/>
  <cols>
    <col min="1" max="1" width="3" customWidth="1"/>
    <col min="2" max="2" width="36" customWidth="1"/>
    <col min="3" max="3" width="32" customWidth="1"/>
    <col min="4" max="8" width="14" customWidth="1"/>
  </cols>
  <sheetData>
    <row r="2" spans="2:4" ht="21" x14ac:dyDescent="0.4">
      <c r="B2" s="7" t="s">
        <v>513</v>
      </c>
    </row>
    <row r="3" spans="2:4" x14ac:dyDescent="0.25">
      <c r="B3" s="8" t="s">
        <v>514</v>
      </c>
    </row>
    <row r="5" spans="2:4" ht="13.8" x14ac:dyDescent="0.25">
      <c r="B5" s="9" t="s">
        <v>515</v>
      </c>
      <c r="C5" s="9" t="s">
        <v>516</v>
      </c>
      <c r="D5" s="9" t="s">
        <v>517</v>
      </c>
    </row>
    <row r="6" spans="2:4" x14ac:dyDescent="0.25">
      <c r="B6" s="10" t="s">
        <v>36</v>
      </c>
      <c r="C6" s="11">
        <f>COUNTIF('Test Cases'!$J$16:$J$76,B6)</f>
        <v>57</v>
      </c>
      <c r="D6" s="12">
        <f>IFERROR(C6/$C$10,0)</f>
        <v>0.93442622950819676</v>
      </c>
    </row>
    <row r="7" spans="2:4" x14ac:dyDescent="0.25">
      <c r="B7" s="13" t="s">
        <v>518</v>
      </c>
      <c r="C7" s="11">
        <f>COUNTIF('Test Cases'!$J$16:$J$76,B7)</f>
        <v>0</v>
      </c>
      <c r="D7" s="12">
        <f>IFERROR(C7/$C$10,0)</f>
        <v>0</v>
      </c>
    </row>
    <row r="8" spans="2:4" x14ac:dyDescent="0.25">
      <c r="B8" s="14" t="s">
        <v>488</v>
      </c>
      <c r="C8" s="11">
        <f>COUNTIF('Test Cases'!$J$16:$J$76,B8)</f>
        <v>1</v>
      </c>
      <c r="D8" s="12">
        <f>IFERROR(C8/$C$10,0)</f>
        <v>1.6393442622950821E-2</v>
      </c>
    </row>
    <row r="9" spans="2:4" x14ac:dyDescent="0.25">
      <c r="B9" s="15" t="s">
        <v>497</v>
      </c>
      <c r="C9" s="11">
        <f>COUNTIF('Test Cases'!$J$16:$J$76,B9)</f>
        <v>3</v>
      </c>
      <c r="D9" s="12">
        <f>IFERROR(C9/$C$10,0)</f>
        <v>4.9180327868852458E-2</v>
      </c>
    </row>
    <row r="10" spans="2:4" ht="13.8" x14ac:dyDescent="0.25">
      <c r="B10" s="16" t="s">
        <v>519</v>
      </c>
      <c r="C10" s="16">
        <f>SUM(C6:C9)</f>
        <v>61</v>
      </c>
      <c r="D10" s="17">
        <f>IFERROR(C10/C10,0)</f>
        <v>1</v>
      </c>
    </row>
    <row r="12" spans="2:4" x14ac:dyDescent="0.25">
      <c r="B12" s="11" t="s">
        <v>520</v>
      </c>
      <c r="C12" s="11">
        <f>C6+C7</f>
        <v>57</v>
      </c>
      <c r="D12" s="11"/>
    </row>
    <row r="13" spans="2:4" ht="13.8" x14ac:dyDescent="0.25">
      <c r="B13" s="16" t="s">
        <v>521</v>
      </c>
      <c r="C13" s="17">
        <f>IFERROR(C6/C12,0)</f>
        <v>1</v>
      </c>
      <c r="D13" s="16"/>
    </row>
    <row r="14" spans="2:4" x14ac:dyDescent="0.25">
      <c r="B14" s="11" t="s">
        <v>522</v>
      </c>
      <c r="C14" s="12">
        <f>IFERROR(C12/C10,0)</f>
        <v>0.93442622950819676</v>
      </c>
      <c r="D14" s="11"/>
    </row>
    <row r="17" spans="2:8" ht="13.8" x14ac:dyDescent="0.25">
      <c r="B17" s="9" t="s">
        <v>523</v>
      </c>
      <c r="C17" s="9" t="s">
        <v>524</v>
      </c>
      <c r="D17" s="9" t="s">
        <v>519</v>
      </c>
      <c r="E17" s="9" t="s">
        <v>36</v>
      </c>
      <c r="F17" s="9" t="s">
        <v>518</v>
      </c>
      <c r="G17" s="9" t="s">
        <v>488</v>
      </c>
      <c r="H17" s="9" t="s">
        <v>497</v>
      </c>
    </row>
    <row r="18" spans="2:8" x14ac:dyDescent="0.25">
      <c r="B18" s="11" t="s">
        <v>525</v>
      </c>
      <c r="C18" s="11" t="s">
        <v>526</v>
      </c>
      <c r="D18" s="11">
        <f>COUNTIF('Test Cases'!$C$16:$C$76,B18&amp;"_*")</f>
        <v>5</v>
      </c>
      <c r="E18" s="11">
        <f>COUNTIFS('Test Cases'!$C$16:$C$76,$B18&amp;"_*",'Test Cases'!$J$16:$J$76,"Pass")</f>
        <v>5</v>
      </c>
      <c r="F18" s="11">
        <f>COUNTIFS('Test Cases'!$C$16:$C$76,$B18&amp;"_*",'Test Cases'!$J$16:$J$76,"Fail")</f>
        <v>0</v>
      </c>
      <c r="G18" s="11">
        <f>COUNTIFS('Test Cases'!$C$16:$C$76,$B18&amp;"_*",'Test Cases'!$J$16:$J$76,"Blocked")</f>
        <v>0</v>
      </c>
      <c r="H18" s="11">
        <f>COUNTIFS('Test Cases'!$C$16:$C$76,$B18&amp;"_*",'Test Cases'!$J$16:$J$76,"Not Executed")</f>
        <v>0</v>
      </c>
    </row>
    <row r="19" spans="2:8" x14ac:dyDescent="0.25">
      <c r="B19" s="11" t="s">
        <v>527</v>
      </c>
      <c r="C19" s="11" t="s">
        <v>528</v>
      </c>
      <c r="D19" s="11">
        <f>COUNTIF('Test Cases'!$C$16:$C$76,B19&amp;"_*")</f>
        <v>7</v>
      </c>
      <c r="E19" s="11">
        <f>COUNTIFS('Test Cases'!$C$16:$C$76,$B19&amp;"_*",'Test Cases'!$J$16:$J$76,"Pass")</f>
        <v>7</v>
      </c>
      <c r="F19" s="11">
        <f>COUNTIFS('Test Cases'!$C$16:$C$76,$B19&amp;"_*",'Test Cases'!$J$16:$J$76,"Fail")</f>
        <v>0</v>
      </c>
      <c r="G19" s="11">
        <f>COUNTIFS('Test Cases'!$C$16:$C$76,$B19&amp;"_*",'Test Cases'!$J$16:$J$76,"Blocked")</f>
        <v>0</v>
      </c>
      <c r="H19" s="11">
        <f>COUNTIFS('Test Cases'!$C$16:$C$76,$B19&amp;"_*",'Test Cases'!$J$16:$J$76,"Not Executed")</f>
        <v>0</v>
      </c>
    </row>
    <row r="20" spans="2:8" x14ac:dyDescent="0.25">
      <c r="B20" s="11" t="s">
        <v>529</v>
      </c>
      <c r="C20" s="11" t="s">
        <v>530</v>
      </c>
      <c r="D20" s="11">
        <f>COUNTIF('Test Cases'!$C$16:$C$76,B20&amp;"_*")</f>
        <v>5</v>
      </c>
      <c r="E20" s="11">
        <f>COUNTIFS('Test Cases'!$C$16:$C$76,$B20&amp;"_*",'Test Cases'!$J$16:$J$76,"Pass")</f>
        <v>5</v>
      </c>
      <c r="F20" s="11">
        <f>COUNTIFS('Test Cases'!$C$16:$C$76,$B20&amp;"_*",'Test Cases'!$J$16:$J$76,"Fail")</f>
        <v>0</v>
      </c>
      <c r="G20" s="11">
        <f>COUNTIFS('Test Cases'!$C$16:$C$76,$B20&amp;"_*",'Test Cases'!$J$16:$J$76,"Blocked")</f>
        <v>0</v>
      </c>
      <c r="H20" s="11">
        <f>COUNTIFS('Test Cases'!$C$16:$C$76,$B20&amp;"_*",'Test Cases'!$J$16:$J$76,"Not Executed")</f>
        <v>0</v>
      </c>
    </row>
    <row r="21" spans="2:8" x14ac:dyDescent="0.25">
      <c r="B21" s="11" t="s">
        <v>531</v>
      </c>
      <c r="C21" s="11" t="s">
        <v>532</v>
      </c>
      <c r="D21" s="11">
        <f>COUNTIF('Test Cases'!$C$16:$C$76,B21&amp;"_*")</f>
        <v>6</v>
      </c>
      <c r="E21" s="11">
        <f>COUNTIFS('Test Cases'!$C$16:$C$76,$B21&amp;"_*",'Test Cases'!$J$16:$J$76,"Pass")</f>
        <v>6</v>
      </c>
      <c r="F21" s="11">
        <f>COUNTIFS('Test Cases'!$C$16:$C$76,$B21&amp;"_*",'Test Cases'!$J$16:$J$76,"Fail")</f>
        <v>0</v>
      </c>
      <c r="G21" s="11">
        <f>COUNTIFS('Test Cases'!$C$16:$C$76,$B21&amp;"_*",'Test Cases'!$J$16:$J$76,"Blocked")</f>
        <v>0</v>
      </c>
      <c r="H21" s="11">
        <f>COUNTIFS('Test Cases'!$C$16:$C$76,$B21&amp;"_*",'Test Cases'!$J$16:$J$76,"Not Executed")</f>
        <v>0</v>
      </c>
    </row>
    <row r="22" spans="2:8" x14ac:dyDescent="0.25">
      <c r="B22" s="11" t="s">
        <v>533</v>
      </c>
      <c r="C22" s="11" t="s">
        <v>534</v>
      </c>
      <c r="D22" s="11">
        <f>COUNTIF('Test Cases'!$C$16:$C$76,B22&amp;"_*")</f>
        <v>8</v>
      </c>
      <c r="E22" s="11">
        <f>COUNTIFS('Test Cases'!$C$16:$C$76,$B22&amp;"_*",'Test Cases'!$J$16:$J$76,"Pass")</f>
        <v>8</v>
      </c>
      <c r="F22" s="11">
        <f>COUNTIFS('Test Cases'!$C$16:$C$76,$B22&amp;"_*",'Test Cases'!$J$16:$J$76,"Fail")</f>
        <v>0</v>
      </c>
      <c r="G22" s="11">
        <f>COUNTIFS('Test Cases'!$C$16:$C$76,$B22&amp;"_*",'Test Cases'!$J$16:$J$76,"Blocked")</f>
        <v>0</v>
      </c>
      <c r="H22" s="11">
        <f>COUNTIFS('Test Cases'!$C$16:$C$76,$B22&amp;"_*",'Test Cases'!$J$16:$J$76,"Not Executed")</f>
        <v>0</v>
      </c>
    </row>
    <row r="23" spans="2:8" x14ac:dyDescent="0.25">
      <c r="B23" s="11" t="s">
        <v>535</v>
      </c>
      <c r="C23" s="11" t="s">
        <v>536</v>
      </c>
      <c r="D23" s="11">
        <f>COUNTIF('Test Cases'!$C$16:$C$76,B23&amp;"_*")</f>
        <v>8</v>
      </c>
      <c r="E23" s="11">
        <f>COUNTIFS('Test Cases'!$C$16:$C$76,$B23&amp;"_*",'Test Cases'!$J$16:$J$76,"Pass")</f>
        <v>8</v>
      </c>
      <c r="F23" s="11">
        <f>COUNTIFS('Test Cases'!$C$16:$C$76,$B23&amp;"_*",'Test Cases'!$J$16:$J$76,"Fail")</f>
        <v>0</v>
      </c>
      <c r="G23" s="11">
        <f>COUNTIFS('Test Cases'!$C$16:$C$76,$B23&amp;"_*",'Test Cases'!$J$16:$J$76,"Blocked")</f>
        <v>0</v>
      </c>
      <c r="H23" s="11">
        <f>COUNTIFS('Test Cases'!$C$16:$C$76,$B23&amp;"_*",'Test Cases'!$J$16:$J$76,"Not Executed")</f>
        <v>0</v>
      </c>
    </row>
    <row r="24" spans="2:8" x14ac:dyDescent="0.25">
      <c r="B24" s="11" t="s">
        <v>537</v>
      </c>
      <c r="C24" s="11" t="s">
        <v>538</v>
      </c>
      <c r="D24" s="11">
        <f>COUNTIF('Test Cases'!$C$16:$C$76,B24&amp;"_*")</f>
        <v>3</v>
      </c>
      <c r="E24" s="11">
        <f>COUNTIFS('Test Cases'!$C$16:$C$76,$B24&amp;"_*",'Test Cases'!$J$16:$J$76,"Pass")</f>
        <v>3</v>
      </c>
      <c r="F24" s="11">
        <f>COUNTIFS('Test Cases'!$C$16:$C$76,$B24&amp;"_*",'Test Cases'!$J$16:$J$76,"Fail")</f>
        <v>0</v>
      </c>
      <c r="G24" s="11">
        <f>COUNTIFS('Test Cases'!$C$16:$C$76,$B24&amp;"_*",'Test Cases'!$J$16:$J$76,"Blocked")</f>
        <v>0</v>
      </c>
      <c r="H24" s="11">
        <f>COUNTIFS('Test Cases'!$C$16:$C$76,$B24&amp;"_*",'Test Cases'!$J$16:$J$76,"Not Executed")</f>
        <v>0</v>
      </c>
    </row>
    <row r="25" spans="2:8" x14ac:dyDescent="0.25">
      <c r="B25" s="11" t="s">
        <v>539</v>
      </c>
      <c r="C25" s="11" t="s">
        <v>540</v>
      </c>
      <c r="D25" s="11">
        <f>COUNTIF('Test Cases'!$C$16:$C$76,B25&amp;"_*")</f>
        <v>4</v>
      </c>
      <c r="E25" s="11">
        <f>COUNTIFS('Test Cases'!$C$16:$C$76,$B25&amp;"_*",'Test Cases'!$J$16:$J$76,"Pass")</f>
        <v>4</v>
      </c>
      <c r="F25" s="11">
        <f>COUNTIFS('Test Cases'!$C$16:$C$76,$B25&amp;"_*",'Test Cases'!$J$16:$J$76,"Fail")</f>
        <v>0</v>
      </c>
      <c r="G25" s="11">
        <f>COUNTIFS('Test Cases'!$C$16:$C$76,$B25&amp;"_*",'Test Cases'!$J$16:$J$76,"Blocked")</f>
        <v>0</v>
      </c>
      <c r="H25" s="11">
        <f>COUNTIFS('Test Cases'!$C$16:$C$76,$B25&amp;"_*",'Test Cases'!$J$16:$J$76,"Not Executed")</f>
        <v>0</v>
      </c>
    </row>
    <row r="26" spans="2:8" x14ac:dyDescent="0.25">
      <c r="B26" s="11" t="s">
        <v>541</v>
      </c>
      <c r="C26" s="11" t="s">
        <v>542</v>
      </c>
      <c r="D26" s="11">
        <f>COUNTIF('Test Cases'!$C$16:$C$76,B26&amp;"_*")</f>
        <v>1</v>
      </c>
      <c r="E26" s="11">
        <f>COUNTIFS('Test Cases'!$C$16:$C$76,$B26&amp;"_*",'Test Cases'!$J$16:$J$76,"Pass")</f>
        <v>1</v>
      </c>
      <c r="F26" s="11">
        <f>COUNTIFS('Test Cases'!$C$16:$C$76,$B26&amp;"_*",'Test Cases'!$J$16:$J$76,"Fail")</f>
        <v>0</v>
      </c>
      <c r="G26" s="11">
        <f>COUNTIFS('Test Cases'!$C$16:$C$76,$B26&amp;"_*",'Test Cases'!$J$16:$J$76,"Blocked")</f>
        <v>0</v>
      </c>
      <c r="H26" s="11">
        <f>COUNTIFS('Test Cases'!$C$16:$C$76,$B26&amp;"_*",'Test Cases'!$J$16:$J$76,"Not Executed")</f>
        <v>0</v>
      </c>
    </row>
    <row r="27" spans="2:8" x14ac:dyDescent="0.25">
      <c r="B27" s="11" t="s">
        <v>543</v>
      </c>
      <c r="C27" s="11" t="s">
        <v>544</v>
      </c>
      <c r="D27" s="11">
        <f>COUNTIF('Test Cases'!$C$16:$C$76,B27&amp;"_*")</f>
        <v>1</v>
      </c>
      <c r="E27" s="11">
        <f>COUNTIFS('Test Cases'!$C$16:$C$76,$B27&amp;"_*",'Test Cases'!$J$16:$J$76,"Pass")</f>
        <v>1</v>
      </c>
      <c r="F27" s="11">
        <f>COUNTIFS('Test Cases'!$C$16:$C$76,$B27&amp;"_*",'Test Cases'!$J$16:$J$76,"Fail")</f>
        <v>0</v>
      </c>
      <c r="G27" s="11">
        <f>COUNTIFS('Test Cases'!$C$16:$C$76,$B27&amp;"_*",'Test Cases'!$J$16:$J$76,"Blocked")</f>
        <v>0</v>
      </c>
      <c r="H27" s="11">
        <f>COUNTIFS('Test Cases'!$C$16:$C$76,$B27&amp;"_*",'Test Cases'!$J$16:$J$76,"Not Executed")</f>
        <v>0</v>
      </c>
    </row>
    <row r="28" spans="2:8" x14ac:dyDescent="0.25">
      <c r="B28" s="11" t="s">
        <v>545</v>
      </c>
      <c r="C28" s="11" t="s">
        <v>546</v>
      </c>
      <c r="D28" s="11">
        <f>COUNTIF('Test Cases'!$C$16:$C$76,B28&amp;"_*")</f>
        <v>5</v>
      </c>
      <c r="E28" s="11">
        <f>COUNTIFS('Test Cases'!$C$16:$C$76,$B28&amp;"_*",'Test Cases'!$J$16:$J$76,"Pass")</f>
        <v>5</v>
      </c>
      <c r="F28" s="11">
        <f>COUNTIFS('Test Cases'!$C$16:$C$76,$B28&amp;"_*",'Test Cases'!$J$16:$J$76,"Fail")</f>
        <v>0</v>
      </c>
      <c r="G28" s="11">
        <f>COUNTIFS('Test Cases'!$C$16:$C$76,$B28&amp;"_*",'Test Cases'!$J$16:$J$76,"Blocked")</f>
        <v>0</v>
      </c>
      <c r="H28" s="11">
        <f>COUNTIFS('Test Cases'!$C$16:$C$76,$B28&amp;"_*",'Test Cases'!$J$16:$J$76,"Not Executed")</f>
        <v>0</v>
      </c>
    </row>
    <row r="29" spans="2:8" x14ac:dyDescent="0.25">
      <c r="B29" s="11" t="s">
        <v>547</v>
      </c>
      <c r="C29" s="11" t="s">
        <v>548</v>
      </c>
      <c r="D29" s="11">
        <f>COUNTIF('Test Cases'!$C$16:$C$76,B29&amp;"_*")</f>
        <v>3</v>
      </c>
      <c r="E29" s="11">
        <f>COUNTIFS('Test Cases'!$C$16:$C$76,$B29&amp;"_*",'Test Cases'!$J$16:$J$76,"Pass")</f>
        <v>3</v>
      </c>
      <c r="F29" s="11">
        <f>COUNTIFS('Test Cases'!$C$16:$C$76,$B29&amp;"_*",'Test Cases'!$J$16:$J$76,"Fail")</f>
        <v>0</v>
      </c>
      <c r="G29" s="11">
        <f>COUNTIFS('Test Cases'!$C$16:$C$76,$B29&amp;"_*",'Test Cases'!$J$16:$J$76,"Blocked")</f>
        <v>0</v>
      </c>
      <c r="H29" s="11">
        <f>COUNTIFS('Test Cases'!$C$16:$C$76,$B29&amp;"_*",'Test Cases'!$J$16:$J$76,"Not Executed")</f>
        <v>0</v>
      </c>
    </row>
    <row r="30" spans="2:8" x14ac:dyDescent="0.25">
      <c r="B30" s="11" t="s">
        <v>549</v>
      </c>
      <c r="C30" s="11" t="s">
        <v>550</v>
      </c>
      <c r="D30" s="11">
        <f>COUNTIF('Test Cases'!$C$16:$C$76,B30&amp;"_*")</f>
        <v>1</v>
      </c>
      <c r="E30" s="11">
        <f>COUNTIFS('Test Cases'!$C$16:$C$76,$B30&amp;"_*",'Test Cases'!$J$16:$J$76,"Pass")</f>
        <v>1</v>
      </c>
      <c r="F30" s="11">
        <f>COUNTIFS('Test Cases'!$C$16:$C$76,$B30&amp;"_*",'Test Cases'!$J$16:$J$76,"Fail")</f>
        <v>0</v>
      </c>
      <c r="G30" s="11">
        <f>COUNTIFS('Test Cases'!$C$16:$C$76,$B30&amp;"_*",'Test Cases'!$J$16:$J$76,"Blocked")</f>
        <v>0</v>
      </c>
      <c r="H30" s="11">
        <f>COUNTIFS('Test Cases'!$C$16:$C$76,$B30&amp;"_*",'Test Cases'!$J$16:$J$76,"Not Executed")</f>
        <v>0</v>
      </c>
    </row>
    <row r="31" spans="2:8" x14ac:dyDescent="0.25">
      <c r="B31" s="11" t="s">
        <v>551</v>
      </c>
      <c r="C31" s="11" t="s">
        <v>552</v>
      </c>
      <c r="D31" s="11">
        <f>COUNTIF('Test Cases'!$C$16:$C$76,B31&amp;"_*")</f>
        <v>1</v>
      </c>
      <c r="E31" s="11">
        <f>COUNTIFS('Test Cases'!$C$16:$C$76,$B31&amp;"_*",'Test Cases'!$J$16:$J$76,"Pass")</f>
        <v>0</v>
      </c>
      <c r="F31" s="11">
        <f>COUNTIFS('Test Cases'!$C$16:$C$76,$B31&amp;"_*",'Test Cases'!$J$16:$J$76,"Fail")</f>
        <v>0</v>
      </c>
      <c r="G31" s="11">
        <f>COUNTIFS('Test Cases'!$C$16:$C$76,$B31&amp;"_*",'Test Cases'!$J$16:$J$76,"Blocked")</f>
        <v>1</v>
      </c>
      <c r="H31" s="11">
        <f>COUNTIFS('Test Cases'!$C$16:$C$76,$B31&amp;"_*",'Test Cases'!$J$16:$J$76,"Not Executed")</f>
        <v>0</v>
      </c>
    </row>
    <row r="32" spans="2:8" x14ac:dyDescent="0.25">
      <c r="B32" s="11" t="s">
        <v>553</v>
      </c>
      <c r="C32" s="11" t="s">
        <v>554</v>
      </c>
      <c r="D32" s="11">
        <f>COUNTIF('Test Cases'!$C$16:$C$76,B32&amp;"_*")</f>
        <v>1</v>
      </c>
      <c r="E32" s="11">
        <f>COUNTIFS('Test Cases'!$C$16:$C$76,$B32&amp;"_*",'Test Cases'!$J$16:$J$76,"Pass")</f>
        <v>0</v>
      </c>
      <c r="F32" s="11">
        <f>COUNTIFS('Test Cases'!$C$16:$C$76,$B32&amp;"_*",'Test Cases'!$J$16:$J$76,"Fail")</f>
        <v>0</v>
      </c>
      <c r="G32" s="11">
        <f>COUNTIFS('Test Cases'!$C$16:$C$76,$B32&amp;"_*",'Test Cases'!$J$16:$J$76,"Blocked")</f>
        <v>0</v>
      </c>
      <c r="H32" s="11">
        <f>COUNTIFS('Test Cases'!$C$16:$C$76,$B32&amp;"_*",'Test Cases'!$J$16:$J$76,"Not Executed")</f>
        <v>1</v>
      </c>
    </row>
    <row r="33" spans="2:8" x14ac:dyDescent="0.25">
      <c r="B33" s="11" t="s">
        <v>555</v>
      </c>
      <c r="C33" s="11" t="s">
        <v>556</v>
      </c>
      <c r="D33" s="11">
        <f>COUNTIF('Test Cases'!$C$16:$C$76,B33&amp;"_*")</f>
        <v>1</v>
      </c>
      <c r="E33" s="11">
        <f>COUNTIFS('Test Cases'!$C$16:$C$76,$B33&amp;"_*",'Test Cases'!$J$16:$J$76,"Pass")</f>
        <v>0</v>
      </c>
      <c r="F33" s="11">
        <f>COUNTIFS('Test Cases'!$C$16:$C$76,$B33&amp;"_*",'Test Cases'!$J$16:$J$76,"Fail")</f>
        <v>0</v>
      </c>
      <c r="G33" s="11">
        <f>COUNTIFS('Test Cases'!$C$16:$C$76,$B33&amp;"_*",'Test Cases'!$J$16:$J$76,"Blocked")</f>
        <v>0</v>
      </c>
      <c r="H33" s="11">
        <f>COUNTIFS('Test Cases'!$C$16:$C$76,$B33&amp;"_*",'Test Cases'!$J$16:$J$76,"Not Executed")</f>
        <v>1</v>
      </c>
    </row>
    <row r="34" spans="2:8" x14ac:dyDescent="0.25">
      <c r="B34" s="11" t="s">
        <v>557</v>
      </c>
      <c r="C34" s="11" t="s">
        <v>558</v>
      </c>
      <c r="D34" s="11">
        <f>COUNTIF('Test Cases'!$C$16:$C$76,B34&amp;"_*")</f>
        <v>1</v>
      </c>
      <c r="E34" s="11">
        <f>COUNTIFS('Test Cases'!$C$16:$C$76,$B34&amp;"_*",'Test Cases'!$J$16:$J$76,"Pass")</f>
        <v>0</v>
      </c>
      <c r="F34" s="11">
        <f>COUNTIFS('Test Cases'!$C$16:$C$76,$B34&amp;"_*",'Test Cases'!$J$16:$J$76,"Fail")</f>
        <v>0</v>
      </c>
      <c r="G34" s="11">
        <f>COUNTIFS('Test Cases'!$C$16:$C$76,$B34&amp;"_*",'Test Cases'!$J$16:$J$76,"Blocked")</f>
        <v>0</v>
      </c>
      <c r="H34" s="11">
        <f>COUNTIFS('Test Cases'!$C$16:$C$76,$B34&amp;"_*",'Test Cases'!$J$16:$J$76,"Not Executed")</f>
        <v>1</v>
      </c>
    </row>
    <row r="35" spans="2:8" ht="13.8" x14ac:dyDescent="0.25">
      <c r="B35" s="16" t="s">
        <v>519</v>
      </c>
      <c r="C35" s="16"/>
      <c r="D35" s="16">
        <f>SUM(D18:D34)</f>
        <v>61</v>
      </c>
      <c r="E35" s="16">
        <f>SUM(E18:E34)</f>
        <v>57</v>
      </c>
      <c r="F35" s="16">
        <f>SUM(F18:F34)</f>
        <v>0</v>
      </c>
      <c r="G35" s="16">
        <f>SUM(G18:G34)</f>
        <v>1</v>
      </c>
      <c r="H35" s="16">
        <f>SUM(H18:H34)</f>
        <v>3</v>
      </c>
    </row>
    <row r="36" spans="2:8" ht="13.8" x14ac:dyDescent="0.25">
      <c r="B36" s="8" t="s">
        <v>559</v>
      </c>
      <c r="D36" s="18" t="str">
        <f>IF(D35=C10,"OK","REVISAR")</f>
        <v>OK</v>
      </c>
    </row>
    <row r="38" spans="2:8" ht="13.8" x14ac:dyDescent="0.25">
      <c r="B38" s="18" t="s">
        <v>560</v>
      </c>
    </row>
    <row r="39" spans="2:8" x14ac:dyDescent="0.25">
      <c r="B39" s="19" t="s">
        <v>561</v>
      </c>
    </row>
    <row r="40" spans="2:8" x14ac:dyDescent="0.25">
      <c r="B40" s="19" t="s">
        <v>562</v>
      </c>
    </row>
    <row r="41" spans="2:8" x14ac:dyDescent="0.25">
      <c r="B41" s="19" t="s">
        <v>563</v>
      </c>
    </row>
    <row r="42" spans="2:8" x14ac:dyDescent="0.25">
      <c r="B42" s="19" t="s">
        <v>564</v>
      </c>
    </row>
    <row r="43" spans="2:8" ht="13.8" x14ac:dyDescent="0.25">
      <c r="B43" s="18" t="s">
        <v>565</v>
      </c>
    </row>
    <row r="44" spans="2:8" x14ac:dyDescent="0.25">
      <c r="B44" s="19" t="s">
        <v>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5"/>
  <sheetViews>
    <sheetView showGridLines="0" workbookViewId="0"/>
  </sheetViews>
  <sheetFormatPr defaultRowHeight="13.2" x14ac:dyDescent="0.25"/>
  <cols>
    <col min="2" max="2" width="11" customWidth="1"/>
    <col min="3" max="3" width="14" customWidth="1"/>
    <col min="4" max="4" width="16" customWidth="1"/>
    <col min="5" max="5" width="54" customWidth="1"/>
    <col min="6" max="6" width="30" customWidth="1"/>
    <col min="7" max="7" width="46" customWidth="1"/>
    <col min="8" max="8" width="22" customWidth="1"/>
    <col min="9" max="9" width="24" customWidth="1"/>
  </cols>
  <sheetData>
    <row r="2" spans="2:9" ht="21" x14ac:dyDescent="0.4">
      <c r="B2" s="7" t="s">
        <v>567</v>
      </c>
    </row>
    <row r="4" spans="2:9" ht="13.8" x14ac:dyDescent="0.25">
      <c r="B4" s="20" t="s">
        <v>568</v>
      </c>
      <c r="C4" s="20" t="s">
        <v>569</v>
      </c>
      <c r="D4" s="20" t="s">
        <v>523</v>
      </c>
      <c r="E4" s="20" t="s">
        <v>524</v>
      </c>
      <c r="F4" s="20" t="s">
        <v>570</v>
      </c>
      <c r="G4" s="20" t="s">
        <v>571</v>
      </c>
      <c r="H4" s="20" t="s">
        <v>515</v>
      </c>
      <c r="I4" s="20" t="s">
        <v>572</v>
      </c>
    </row>
    <row r="5" spans="2:9" ht="61.95" customHeight="1" x14ac:dyDescent="0.25">
      <c r="B5" s="4" t="s">
        <v>573</v>
      </c>
      <c r="C5" s="4" t="s">
        <v>574</v>
      </c>
      <c r="D5" s="4" t="s">
        <v>546</v>
      </c>
      <c r="E5" s="4" t="s">
        <v>575</v>
      </c>
      <c r="F5" s="4" t="s">
        <v>576</v>
      </c>
      <c r="G5" s="4" t="s">
        <v>577</v>
      </c>
      <c r="H5" s="4" t="s">
        <v>578</v>
      </c>
      <c r="I5" s="4" t="s">
        <v>579</v>
      </c>
    </row>
    <row r="6" spans="2:9" ht="61.95" customHeight="1" x14ac:dyDescent="0.25">
      <c r="B6" s="4" t="s">
        <v>580</v>
      </c>
      <c r="C6" s="4" t="s">
        <v>581</v>
      </c>
      <c r="D6" s="4" t="s">
        <v>531</v>
      </c>
      <c r="E6" s="4" t="s">
        <v>582</v>
      </c>
      <c r="F6" s="4" t="s">
        <v>583</v>
      </c>
      <c r="G6" s="4" t="s">
        <v>584</v>
      </c>
      <c r="H6" s="4" t="s">
        <v>578</v>
      </c>
      <c r="I6" s="4" t="s">
        <v>199</v>
      </c>
    </row>
    <row r="7" spans="2:9" ht="61.95" customHeight="1" x14ac:dyDescent="0.25">
      <c r="B7" s="4" t="s">
        <v>585</v>
      </c>
      <c r="C7" s="4" t="s">
        <v>581</v>
      </c>
      <c r="D7" s="4" t="s">
        <v>586</v>
      </c>
      <c r="E7" s="4" t="s">
        <v>587</v>
      </c>
      <c r="F7" s="4" t="s">
        <v>588</v>
      </c>
      <c r="G7" s="4" t="s">
        <v>589</v>
      </c>
      <c r="H7" s="4" t="s">
        <v>578</v>
      </c>
      <c r="I7" s="4" t="s">
        <v>590</v>
      </c>
    </row>
    <row r="8" spans="2:9" ht="61.95" customHeight="1" x14ac:dyDescent="0.25">
      <c r="B8" s="4" t="s">
        <v>591</v>
      </c>
      <c r="C8" s="4" t="s">
        <v>581</v>
      </c>
      <c r="D8" s="4" t="s">
        <v>586</v>
      </c>
      <c r="E8" s="4" t="s">
        <v>592</v>
      </c>
      <c r="F8" s="4" t="s">
        <v>588</v>
      </c>
      <c r="G8" s="4" t="s">
        <v>593</v>
      </c>
      <c r="H8" s="4" t="s">
        <v>578</v>
      </c>
      <c r="I8" s="4" t="s">
        <v>594</v>
      </c>
    </row>
    <row r="9" spans="2:9" ht="61.95" customHeight="1" x14ac:dyDescent="0.25">
      <c r="B9" s="4" t="s">
        <v>595</v>
      </c>
      <c r="C9" s="4" t="s">
        <v>596</v>
      </c>
      <c r="D9" s="4" t="s">
        <v>530</v>
      </c>
      <c r="E9" s="4" t="s">
        <v>597</v>
      </c>
      <c r="F9" s="4" t="s">
        <v>598</v>
      </c>
      <c r="G9" s="4" t="s">
        <v>599</v>
      </c>
      <c r="H9" s="4" t="s">
        <v>578</v>
      </c>
      <c r="I9" s="4" t="s">
        <v>463</v>
      </c>
    </row>
    <row r="10" spans="2:9" ht="61.95" customHeight="1" x14ac:dyDescent="0.25">
      <c r="B10" s="4" t="s">
        <v>600</v>
      </c>
      <c r="C10" s="4" t="s">
        <v>601</v>
      </c>
      <c r="D10" s="4" t="s">
        <v>255</v>
      </c>
      <c r="E10" s="4" t="s">
        <v>602</v>
      </c>
      <c r="F10" s="4" t="s">
        <v>603</v>
      </c>
      <c r="G10" s="4" t="s">
        <v>604</v>
      </c>
      <c r="H10" s="4" t="s">
        <v>605</v>
      </c>
      <c r="I10" s="4" t="s">
        <v>606</v>
      </c>
    </row>
    <row r="11" spans="2:9" ht="61.95" customHeight="1" x14ac:dyDescent="0.25">
      <c r="B11" s="4" t="s">
        <v>607</v>
      </c>
      <c r="C11" s="4" t="s">
        <v>601</v>
      </c>
      <c r="D11" s="4" t="s">
        <v>370</v>
      </c>
      <c r="E11" s="4" t="s">
        <v>608</v>
      </c>
      <c r="F11" s="4" t="s">
        <v>603</v>
      </c>
      <c r="G11" s="4" t="s">
        <v>609</v>
      </c>
      <c r="H11" s="4" t="s">
        <v>605</v>
      </c>
      <c r="I11" s="4" t="s">
        <v>370</v>
      </c>
    </row>
    <row r="12" spans="2:9" ht="61.95" customHeight="1" x14ac:dyDescent="0.25">
      <c r="B12" s="4" t="s">
        <v>610</v>
      </c>
      <c r="C12" s="4" t="s">
        <v>601</v>
      </c>
      <c r="D12" s="4" t="s">
        <v>399</v>
      </c>
      <c r="E12" s="4" t="s">
        <v>611</v>
      </c>
      <c r="F12" s="4" t="s">
        <v>603</v>
      </c>
      <c r="G12" s="4" t="s">
        <v>612</v>
      </c>
      <c r="H12" s="4" t="s">
        <v>613</v>
      </c>
      <c r="I12" s="4" t="s">
        <v>614</v>
      </c>
    </row>
    <row r="13" spans="2:9" ht="61.95" customHeight="1" x14ac:dyDescent="0.25">
      <c r="B13" s="4" t="s">
        <v>615</v>
      </c>
      <c r="C13" s="4" t="s">
        <v>616</v>
      </c>
      <c r="D13" s="4" t="s">
        <v>552</v>
      </c>
      <c r="E13" s="4" t="s">
        <v>617</v>
      </c>
      <c r="F13" s="4" t="s">
        <v>33</v>
      </c>
      <c r="G13" s="4" t="s">
        <v>618</v>
      </c>
      <c r="H13" s="4" t="s">
        <v>619</v>
      </c>
      <c r="I13" s="4" t="s">
        <v>620</v>
      </c>
    </row>
    <row r="14" spans="2:9" ht="61.95" customHeight="1" x14ac:dyDescent="0.25">
      <c r="B14" s="4" t="s">
        <v>621</v>
      </c>
      <c r="C14" s="4" t="s">
        <v>616</v>
      </c>
      <c r="D14" s="4" t="s">
        <v>622</v>
      </c>
      <c r="E14" s="4" t="s">
        <v>623</v>
      </c>
      <c r="F14" s="4" t="s">
        <v>33</v>
      </c>
      <c r="G14" s="4" t="s">
        <v>624</v>
      </c>
      <c r="H14" s="4" t="s">
        <v>619</v>
      </c>
      <c r="I14" s="4" t="s">
        <v>625</v>
      </c>
    </row>
    <row r="15" spans="2:9" ht="61.95" customHeight="1" x14ac:dyDescent="0.25">
      <c r="B15" s="4" t="s">
        <v>626</v>
      </c>
      <c r="C15" s="4" t="s">
        <v>616</v>
      </c>
      <c r="D15" s="4" t="s">
        <v>627</v>
      </c>
      <c r="E15" s="4" t="s">
        <v>628</v>
      </c>
      <c r="F15" s="4" t="s">
        <v>33</v>
      </c>
      <c r="G15" s="4" t="s">
        <v>629</v>
      </c>
      <c r="H15" s="4" t="s">
        <v>619</v>
      </c>
      <c r="I15" s="4" t="s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Resumen</vt:lpstr>
      <vt:lpstr>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Rivera Reyes</cp:lastModifiedBy>
  <dcterms:created xsi:type="dcterms:W3CDTF">2026-09-14T17:14:16Z</dcterms:created>
  <dcterms:modified xsi:type="dcterms:W3CDTF">2026-09-21T22:42:32Z</dcterms:modified>
</cp:coreProperties>
</file>